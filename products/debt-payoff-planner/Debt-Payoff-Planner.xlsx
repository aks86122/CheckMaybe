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Start Here" sheetId="1" state="visible" r:id="rId1"/>
    <sheet name="Plan" sheetId="2" state="visible" r:id="rId2"/>
    <sheet name="My Debts" sheetId="3" state="visible" r:id="rId3"/>
    <sheet name="Schedule" sheetId="4" state="visible" r:id="rId4"/>
    <sheet name="Calc Smart" sheetId="5" state="hidden" r:id="rId5"/>
    <sheet name="Calc Avalanche" sheetId="6" state="hidden" r:id="rId6"/>
    <sheet name="Calc Snowball" sheetId="7" state="hidden" r:id="rId7"/>
    <sheet name="Calc Cashflow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(#,##0.00);&quot;-&quot;"/>
    <numFmt numFmtId="165" formatCode="yyyy-mm-dd"/>
    <numFmt numFmtId="166" formatCode="mmm yyyy"/>
    <numFmt numFmtId="167" formatCode="0.0%;-0.0%;&quot;-&quot;"/>
  </numFmts>
  <fonts count="25">
    <font>
      <name val="Calibri"/>
      <family val="2"/>
      <color theme="1"/>
      <sz val="11"/>
      <scheme val="minor"/>
    </font>
    <font>
      <name val="Arial"/>
      <b val="1"/>
      <color rgb="00EDEBF5"/>
      <sz val="18"/>
    </font>
    <font>
      <name val="Arial"/>
      <i val="1"/>
      <color rgb="009A98AE"/>
      <sz val="10"/>
    </font>
    <font>
      <name val="Arial"/>
      <b val="1"/>
      <color rgb="008AB4FF"/>
      <sz val="8"/>
    </font>
    <font>
      <name val="Arial"/>
      <color rgb="00EDEBF5"/>
      <sz val="10"/>
    </font>
    <font>
      <name val="Arial"/>
      <color rgb="008AB4FF"/>
      <sz val="10"/>
    </font>
    <font>
      <name val="Arial"/>
      <color rgb="009A98AE"/>
      <sz val="8"/>
    </font>
    <font>
      <name val="Arial"/>
      <b val="1"/>
      <color rgb="004FC3C7"/>
      <sz val="9"/>
    </font>
    <font>
      <name val="Arial"/>
      <b val="1"/>
      <color rgb="004FC3C7"/>
      <sz val="8"/>
    </font>
    <font>
      <name val="Arial"/>
      <b val="1"/>
      <color rgb="00EDEBF5"/>
      <sz val="10"/>
    </font>
    <font>
      <name val="Arial"/>
      <i val="1"/>
      <color rgb="009A98AE"/>
      <sz val="8"/>
    </font>
    <font>
      <name val="Arial"/>
      <b val="1"/>
      <color rgb="00F08A4B"/>
      <sz val="9"/>
    </font>
    <font>
      <name val="Arial"/>
      <b val="1"/>
      <color rgb="009A98AE"/>
      <sz val="8"/>
    </font>
    <font>
      <name val="Arial"/>
      <b val="1"/>
      <color rgb="005FD38D"/>
      <sz val="16"/>
    </font>
    <font>
      <name val="Arial"/>
      <b val="1"/>
      <color rgb="00EDEBF5"/>
      <sz val="16"/>
    </font>
    <font>
      <name val="Arial"/>
      <b val="1"/>
      <color rgb="00FF6B6B"/>
      <sz val="16"/>
    </font>
    <font>
      <name val="Arial"/>
      <b val="1"/>
      <color rgb="00F2B544"/>
      <sz val="16"/>
    </font>
    <font>
      <name val="Arial"/>
      <b val="1"/>
      <color rgb="009A98AE"/>
      <sz val="16"/>
    </font>
    <font>
      <name val="Arial"/>
      <b val="1"/>
      <color rgb="00F2B544"/>
      <sz val="9"/>
    </font>
    <font>
      <name val="Arial"/>
      <color rgb="00EDEBF5"/>
      <sz val="9"/>
    </font>
    <font>
      <name val="Arial"/>
      <b val="1"/>
      <color rgb="00F08A4B"/>
      <sz val="8"/>
    </font>
    <font>
      <name val="Arial"/>
      <color rgb="009A98AE"/>
      <sz val="9"/>
    </font>
    <font>
      <name val="Arial"/>
      <i val="1"/>
      <color rgb="009A98AE"/>
      <sz val="9"/>
    </font>
    <font>
      <name val="Arial"/>
      <b val="1"/>
      <color rgb="00F08A4B"/>
      <sz val="10"/>
    </font>
    <font>
      <name val="Arial"/>
      <color rgb="009A98AE"/>
      <sz val="10"/>
    </font>
  </fonts>
  <fills count="8">
    <fill>
      <patternFill/>
    </fill>
    <fill>
      <patternFill patternType="gray125"/>
    </fill>
    <fill>
      <patternFill patternType="solid">
        <fgColor rgb="0015171F"/>
      </patternFill>
    </fill>
    <fill>
      <patternFill patternType="solid">
        <fgColor rgb="0010121A"/>
      </patternFill>
    </fill>
    <fill>
      <patternFill patternType="solid">
        <fgColor rgb="001E2130"/>
      </patternFill>
    </fill>
    <fill>
      <patternFill patternType="solid">
        <fgColor rgb="00262A3D"/>
      </patternFill>
    </fill>
    <fill>
      <patternFill patternType="solid">
        <fgColor rgb="00232739"/>
      </patternFill>
    </fill>
    <fill>
      <patternFill patternType="solid">
        <fgColor rgb="002C3147"/>
      </patternFill>
    </fill>
  </fills>
  <borders count="9">
    <border>
      <left/>
      <right/>
      <top/>
      <bottom/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8AB4F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thin">
        <color rgb="0033384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4FC3C7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08A4B"/>
      </bottom>
    </border>
    <border>
      <left/>
      <right/>
      <top style="thin">
        <color rgb="0033384F"/>
      </top>
      <bottom/>
      <diagonal/>
    </border>
    <border>
      <left/>
      <right style="thin">
        <color rgb="0033384F"/>
      </right>
      <top style="thin">
        <color rgb="0033384F"/>
      </top>
      <bottom/>
      <diagonal/>
    </border>
    <border>
      <left/>
      <right/>
      <top style="thin">
        <color rgb="0033384F"/>
      </top>
      <bottom style="medium">
        <color rgb="00F08A4B"/>
      </bottom>
      <diagonal/>
    </border>
    <border>
      <left/>
      <right style="thin">
        <color rgb="0033384F"/>
      </right>
      <top style="thin">
        <color rgb="0033384F"/>
      </top>
      <bottom style="medium">
        <color rgb="00F08A4B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applyFill="1" numFmtId="0" fontId="0" fillId="2" borderId="0" pivotButton="0" quotePrefix="0" xfId="0"/>
    <xf applyFill="1" applyFont="1" numFmtId="0" fontId="1" fillId="2" borderId="0" pivotButton="0" quotePrefix="0" xfId="0"/>
    <xf applyFill="1" applyFont="1" numFmtId="0" fontId="2" fillId="2" borderId="0" pivotButton="0" quotePrefix="0" xfId="0"/>
    <xf applyFill="1" applyFont="1" numFmtId="0" fontId="9" fillId="2" borderId="0" applyAlignment="1" pivotButton="0" quotePrefix="0" xfId="0">
      <alignment vertical="top" wrapText="1"/>
    </xf>
    <xf applyFill="1" applyFont="1" numFmtId="0" fontId="24" fillId="2" borderId="0" applyAlignment="1" pivotButton="0" quotePrefix="0" xfId="0">
      <alignment vertical="top" wrapText="1"/>
    </xf>
    <xf applyBorder="1" applyFill="1" applyFont="1" numFmtId="0" fontId="3" fillId="3" borderId="1" applyAlignment="1" pivotButton="0" quotePrefix="0" xfId="0">
      <alignment horizontal="center" vertical="center" wrapText="1"/>
    </xf>
    <xf applyFill="1" applyFont="1" numFmtId="0" fontId="11" fillId="2" borderId="0" pivotButton="0" quotePrefix="0" xfId="0"/>
    <xf applyBorder="1" applyFill="1" applyFont="1" numFmtId="0" fontId="4" fillId="4" borderId="2" applyAlignment="1" pivotButton="0" quotePrefix="0" xfId="0">
      <alignment horizontal="left" vertical="center"/>
    </xf>
    <xf applyBorder="1" applyFill="1" applyFont="1" applyNumberFormat="1" numFmtId="164" fontId="5" fillId="5" borderId="2" applyAlignment="1" pivotButton="0" quotePrefix="0" xfId="0">
      <alignment horizontal="right" vertical="center"/>
    </xf>
    <xf applyBorder="1" applyFill="1" applyFont="1" numFmtId="0" fontId="6" fillId="4" borderId="2" applyAlignment="1" pivotButton="0" quotePrefix="0" xfId="0">
      <alignment horizontal="left" vertical="center" wrapText="1"/>
    </xf>
    <xf applyFill="1" applyFont="1" numFmtId="0" fontId="12" fillId="4" borderId="0" pivotButton="0" quotePrefix="0" xfId="0"/>
    <xf applyFill="1" applyFont="1" applyNumberFormat="1" numFmtId="166" fontId="13" fillId="4" borderId="0" applyAlignment="1" pivotButton="0" quotePrefix="0" xfId="0">
      <alignment horizontal="right"/>
    </xf>
    <xf applyBorder="1" applyFill="1" applyFont="1" numFmtId="0" fontId="4" fillId="6" borderId="2" applyAlignment="1" pivotButton="0" quotePrefix="0" xfId="0">
      <alignment horizontal="left" vertical="center"/>
    </xf>
    <xf applyBorder="1" applyFill="1" applyFont="1" applyNumberFormat="1" numFmtId="166" fontId="5" fillId="7" borderId="2" applyAlignment="1" pivotButton="0" quotePrefix="0" xfId="0">
      <alignment horizontal="right" vertical="center"/>
    </xf>
    <xf applyBorder="1" applyFill="1" applyFont="1" numFmtId="0" fontId="6" fillId="6" borderId="2" applyAlignment="1" pivotButton="0" quotePrefix="0" xfId="0">
      <alignment horizontal="left" vertical="center" wrapText="1"/>
    </xf>
    <xf applyFill="1" applyFont="1" applyNumberFormat="1" numFmtId="1" fontId="14" fillId="4" borderId="0" applyAlignment="1" pivotButton="0" quotePrefix="0" xfId="0">
      <alignment horizontal="right"/>
    </xf>
    <xf applyFill="1" applyFont="1" applyNumberFormat="1" numFmtId="164" fontId="15" fillId="4" borderId="0" applyAlignment="1" pivotButton="0" quotePrefix="0" xfId="0">
      <alignment horizontal="right"/>
    </xf>
    <xf applyBorder="1" applyFill="1" applyFont="1" applyNumberFormat="1" numFmtId="1" fontId="5" fillId="7" borderId="2" applyAlignment="1" pivotButton="0" quotePrefix="0" xfId="0">
      <alignment horizontal="right" vertical="center"/>
    </xf>
    <xf applyFill="1" applyFont="1" applyNumberFormat="1" numFmtId="164" fontId="16" fillId="4" borderId="0" applyAlignment="1" pivotButton="0" quotePrefix="0" xfId="0">
      <alignment horizontal="right"/>
    </xf>
    <xf applyBorder="1" applyFill="1" applyFont="1" numFmtId="0" fontId="5" fillId="5" borderId="2" applyAlignment="1" pivotButton="0" quotePrefix="0" xfId="0">
      <alignment horizontal="left" vertical="center" wrapText="1"/>
    </xf>
    <xf applyFill="1" applyFont="1" applyNumberFormat="1" numFmtId="164" fontId="17" fillId="4" borderId="0" applyAlignment="1" pivotButton="0" quotePrefix="0" xfId="0">
      <alignment horizontal="right"/>
    </xf>
    <xf applyBorder="1" applyFill="1" applyFont="1" applyNumberFormat="1" numFmtId="164" fontId="5" fillId="7" borderId="2" applyAlignment="1" pivotButton="0" quotePrefix="0" xfId="0">
      <alignment horizontal="right" vertical="center"/>
    </xf>
    <xf applyFill="1" applyFont="1" applyNumberFormat="1" numFmtId="164" fontId="13" fillId="4" borderId="0" applyAlignment="1" pivotButton="0" quotePrefix="0" xfId="0">
      <alignment horizontal="right"/>
    </xf>
    <xf applyFill="1" applyFont="1" numFmtId="0" fontId="10" fillId="2" borderId="0" pivotButton="0" quotePrefix="0" xfId="0"/>
    <xf applyFill="1" applyFont="1" numFmtId="0" fontId="7" fillId="2" borderId="0" pivotButton="0" quotePrefix="0" xfId="0"/>
    <xf applyBorder="1" applyFill="1" applyFont="1" numFmtId="0" fontId="8" fillId="3" borderId="3" applyAlignment="1" pivotButton="0" quotePrefix="0" xfId="0">
      <alignment horizontal="center" vertical="center" wrapText="1"/>
    </xf>
    <xf applyBorder="1" applyFill="1" applyFont="1" numFmtId="0" fontId="9" fillId="4" borderId="2" applyAlignment="1" pivotButton="0" quotePrefix="0" xfId="0">
      <alignment horizontal="left" vertical="center"/>
    </xf>
    <xf applyBorder="1" applyFill="1" applyFont="1" applyNumberFormat="1" numFmtId="166" fontId="4" fillId="4" borderId="2" applyAlignment="1" pivotButton="0" quotePrefix="0" xfId="0">
      <alignment horizontal="right" vertical="center"/>
    </xf>
    <xf applyBorder="1" applyFill="1" applyFont="1" numFmtId="0" fontId="9" fillId="6" borderId="2" applyAlignment="1" pivotButton="0" quotePrefix="0" xfId="0">
      <alignment horizontal="left" vertical="center"/>
    </xf>
    <xf applyBorder="1" applyFill="1" applyFont="1" applyNumberFormat="1" numFmtId="1" fontId="4" fillId="6" borderId="2" applyAlignment="1" pivotButton="0" quotePrefix="0" xfId="0">
      <alignment horizontal="right" vertical="center"/>
    </xf>
    <xf applyBorder="1" applyFill="1" applyFont="1" applyNumberFormat="1" numFmtId="164" fontId="4" fillId="4" borderId="2" applyAlignment="1" pivotButton="0" quotePrefix="0" xfId="0">
      <alignment horizontal="right" vertical="center"/>
    </xf>
    <xf applyBorder="1" applyFill="1" applyFont="1" applyNumberFormat="1" numFmtId="164" fontId="4" fillId="6" borderId="2" applyAlignment="1" pivotButton="0" quotePrefix="0" xfId="0">
      <alignment horizontal="right" vertical="center"/>
    </xf>
    <xf applyBorder="1" applyFill="1" applyFont="1" applyNumberFormat="1" numFmtId="166" fontId="4" fillId="6" borderId="2" applyAlignment="1" pivotButton="0" quotePrefix="0" xfId="0">
      <alignment horizontal="right" vertical="center"/>
    </xf>
    <xf applyFill="1" applyFont="1" numFmtId="0" fontId="18" fillId="2" borderId="0" pivotButton="0" quotePrefix="0" xfId="0"/>
    <xf applyBorder="1" applyFill="1" applyFont="1" numFmtId="0" fontId="19" fillId="4" borderId="2" applyAlignment="1" pivotButton="0" quotePrefix="0" xfId="0">
      <alignment horizontal="left" vertical="center" wrapText="1"/>
    </xf>
    <xf applyBorder="1" applyFill="1" applyFont="1" numFmtId="0" fontId="19" fillId="6" borderId="2" applyAlignment="1" pivotButton="0" quotePrefix="0" xfId="0">
      <alignment horizontal="left" vertical="center" wrapText="1"/>
    </xf>
    <xf applyBorder="1" applyFill="1" applyFont="1" numFmtId="0" fontId="20" fillId="3" borderId="4" applyAlignment="1" pivotButton="0" quotePrefix="0" xfId="0">
      <alignment horizontal="center" vertical="center" wrapText="1"/>
    </xf>
    <xf applyBorder="1" numFmtId="0" fontId="0" fillId="0" borderId="7" pivotButton="0" quotePrefix="0" xfId="0"/>
    <xf applyBorder="1" numFmtId="0" fontId="0" fillId="0" borderId="8" pivotButton="0" quotePrefix="0" xfId="0"/>
    <xf applyBorder="1" applyFill="1" applyFont="1" applyNumberFormat="1" numFmtId="1" fontId="4" fillId="4" borderId="2" applyAlignment="1" pivotButton="0" quotePrefix="0" xfId="0">
      <alignment horizontal="center" vertical="center"/>
    </xf>
    <xf applyBorder="1" applyFill="1" applyFont="1" applyNumberFormat="1" numFmtId="167" fontId="4" fillId="4" borderId="2" applyAlignment="1" pivotButton="0" quotePrefix="0" xfId="0">
      <alignment horizontal="right" vertical="center"/>
    </xf>
    <xf applyBorder="1" applyFill="1" applyFont="1" numFmtId="0" fontId="21" fillId="4" borderId="2" applyAlignment="1" pivotButton="0" quotePrefix="0" xfId="0">
      <alignment horizontal="left" vertical="center"/>
    </xf>
    <xf applyBorder="1" applyFill="1" applyFont="1" applyNumberFormat="1" numFmtId="1" fontId="4" fillId="6" borderId="2" applyAlignment="1" pivotButton="0" quotePrefix="0" xfId="0">
      <alignment horizontal="center" vertical="center"/>
    </xf>
    <xf applyBorder="1" applyFill="1" applyFont="1" applyNumberFormat="1" numFmtId="167" fontId="4" fillId="6" borderId="2" applyAlignment="1" pivotButton="0" quotePrefix="0" xfId="0">
      <alignment horizontal="right" vertical="center"/>
    </xf>
    <xf applyBorder="1" applyFill="1" applyFont="1" numFmtId="0" fontId="21" fillId="6" borderId="2" applyAlignment="1" pivotButton="0" quotePrefix="0" xfId="0">
      <alignment horizontal="left" vertical="center"/>
    </xf>
    <xf applyFill="1" applyFont="1" numFmtId="0" fontId="22" fillId="2" borderId="0" pivotButton="0" quotePrefix="0" xfId="0"/>
    <xf applyFill="1" applyFont="1" numFmtId="0" fontId="20" fillId="3" borderId="0" pivotButton="0" quotePrefix="0" xfId="0"/>
    <xf applyBorder="1" applyFill="1" applyFont="1" numFmtId="0" fontId="4" fillId="5" borderId="2" applyAlignment="1" pivotButton="0" quotePrefix="0" xfId="0">
      <alignment horizontal="left" vertical="center"/>
    </xf>
    <xf applyBorder="1" applyFill="1" applyFont="1" applyNumberFormat="1" numFmtId="164" fontId="4" fillId="5" borderId="2" applyAlignment="1" pivotButton="0" quotePrefix="0" xfId="0">
      <alignment horizontal="right" vertical="center"/>
    </xf>
    <xf applyBorder="1" applyFill="1" applyFont="1" applyNumberFormat="1" numFmtId="167" fontId="4" fillId="5" borderId="2" applyAlignment="1" pivotButton="0" quotePrefix="0" xfId="0">
      <alignment horizontal="right" vertical="center"/>
    </xf>
    <xf applyBorder="1" applyFill="1" applyFont="1" applyNumberFormat="1" numFmtId="166" fontId="4" fillId="5" borderId="2" applyAlignment="1" pivotButton="0" quotePrefix="0" xfId="0">
      <alignment horizontal="right" vertical="center"/>
    </xf>
    <xf applyBorder="1" applyFill="1" applyFont="1" numFmtId="0" fontId="19" fillId="4" borderId="2" applyAlignment="1" pivotButton="0" quotePrefix="0" xfId="0">
      <alignment horizontal="left" vertical="center"/>
    </xf>
    <xf applyBorder="1" applyFill="1" applyFont="1" numFmtId="0" fontId="4" fillId="4" borderId="2" applyAlignment="1" pivotButton="0" quotePrefix="0" xfId="0">
      <alignment horizontal="center" vertical="center"/>
    </xf>
    <xf applyBorder="1" applyFill="1" applyFont="1" applyNumberFormat="1" numFmtId="1" fontId="23" fillId="4" borderId="2" applyAlignment="1" pivotButton="0" quotePrefix="0" xfId="0">
      <alignment horizontal="center" vertical="center"/>
    </xf>
    <xf applyBorder="1" applyFill="1" applyFont="1" numFmtId="0" fontId="4" fillId="7" borderId="2" applyAlignment="1" pivotButton="0" quotePrefix="0" xfId="0">
      <alignment horizontal="left" vertical="center"/>
    </xf>
    <xf applyBorder="1" applyFill="1" applyFont="1" applyNumberFormat="1" numFmtId="164" fontId="4" fillId="7" borderId="2" applyAlignment="1" pivotButton="0" quotePrefix="0" xfId="0">
      <alignment horizontal="right" vertical="center"/>
    </xf>
    <xf applyBorder="1" applyFill="1" applyFont="1" applyNumberFormat="1" numFmtId="167" fontId="4" fillId="7" borderId="2" applyAlignment="1" pivotButton="0" quotePrefix="0" xfId="0">
      <alignment horizontal="right" vertical="center"/>
    </xf>
    <xf applyBorder="1" applyFill="1" applyFont="1" applyNumberFormat="1" numFmtId="166" fontId="4" fillId="7" borderId="2" applyAlignment="1" pivotButton="0" quotePrefix="0" xfId="0">
      <alignment horizontal="right" vertical="center"/>
    </xf>
    <xf applyBorder="1" applyFill="1" applyFont="1" numFmtId="0" fontId="19" fillId="6" borderId="2" applyAlignment="1" pivotButton="0" quotePrefix="0" xfId="0">
      <alignment horizontal="left" vertical="center"/>
    </xf>
    <xf applyBorder="1" applyFill="1" applyFont="1" numFmtId="0" fontId="4" fillId="6" borderId="2" applyAlignment="1" pivotButton="0" quotePrefix="0" xfId="0">
      <alignment horizontal="center" vertical="center"/>
    </xf>
    <xf applyBorder="1" applyFill="1" applyFont="1" applyNumberFormat="1" numFmtId="1" fontId="23" fillId="6" borderId="2" applyAlignment="1" pivotButton="0" quotePrefix="0" xfId="0">
      <alignment horizontal="center" vertical="center"/>
    </xf>
    <xf applyFill="1" applyFont="1" numFmtId="0" fontId="12" fillId="2" borderId="0" applyAlignment="1" pivotButton="0" quotePrefix="0" xfId="0">
      <alignment wrapText="1"/>
    </xf>
    <xf applyFill="1" applyFont="1" numFmtId="0" fontId="12" fillId="2" borderId="0" pivotButton="0" quotePrefix="0" xfId="0"/>
    <xf applyBorder="1" applyFill="1" applyFont="1" applyNumberFormat="1" numFmtId="166" fontId="4" fillId="4" borderId="2" applyAlignment="1" pivotButton="0" quotePrefix="0" xfId="0">
      <alignment horizontal="left" vertical="center"/>
    </xf>
    <xf applyBorder="1" applyFill="1" applyFont="1" applyNumberFormat="1" numFmtId="164" fontId="19" fillId="4" borderId="2" applyAlignment="1" pivotButton="0" quotePrefix="0" xfId="0">
      <alignment horizontal="right" vertical="center"/>
    </xf>
    <xf applyBorder="1" applyFill="1" applyFont="1" applyNumberFormat="1" numFmtId="166" fontId="4" fillId="6" borderId="2" applyAlignment="1" pivotButton="0" quotePrefix="0" xfId="0">
      <alignment horizontal="left" vertical="center"/>
    </xf>
    <xf applyBorder="1" applyFill="1" applyFont="1" applyNumberFormat="1" numFmtId="164" fontId="19" fillId="6" borderId="2" applyAlignment="1" pivotButton="0" quotePrefix="0" xfId="0">
      <alignment horizontal="right" vertical="center"/>
    </xf>
  </cellXfs>
  <cellStyles count="1">
    <cellStyle name="Normal" xfId="0" builtinId="0" hidden="0"/>
  </cellStyles>
  <dxfs count="8">
    <dxf>
      <font>
        <b val="1"/>
        <color rgb="005FD38D"/>
      </font>
    </dxf>
    <dxf>
      <font>
        <b val="1"/>
        <color rgb="00FF6B6B"/>
      </font>
      <fill>
        <patternFill patternType="solid">
          <fgColor rgb="004A1D22"/>
        </patternFill>
      </fill>
    </dxf>
    <dxf>
      <font>
        <b val="1"/>
        <color rgb="00B8B6C8"/>
      </font>
      <fill>
        <patternFill patternType="solid">
          <fgColor rgb="002F3242"/>
        </patternFill>
      </fill>
    </dxf>
    <dxf>
      <font>
        <b val="1"/>
        <color rgb="00F2B544"/>
      </font>
      <fill>
        <patternFill patternType="solid">
          <fgColor rgb="004A3A15"/>
        </patternFill>
      </fill>
    </dxf>
    <dxf>
      <font>
        <b val="1"/>
        <color rgb="005FD38D"/>
      </font>
      <fill>
        <patternFill patternType="solid">
          <fgColor rgb="00173A28"/>
        </patternFill>
      </fill>
    </dxf>
    <dxf>
      <font>
        <b val="1"/>
        <color rgb="00B18CFF"/>
      </font>
      <fill>
        <patternFill patternType="solid">
          <fgColor rgb="002E2250"/>
        </patternFill>
      </fill>
    </dxf>
    <dxf>
      <font>
        <b val="1"/>
        <color rgb="00F2B544"/>
      </font>
    </dxf>
    <dxf>
      <font>
        <color rgb="005FD38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'Schedule'!D5</f>
            </strRef>
          </tx>
          <spPr>
            <a:ln w="28000">
              <a:solidFill>
                <a:srgbClr val="F08A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'Schedule'!$B$6:$B$125</f>
            </numRef>
          </cat>
          <val>
            <numRef>
              <f>'Schedule'!$D$6:$D$125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plotVisOnly val="1"/>
    <dispBlanksAs val="gap"/>
  </chart>
  <spPr>
    <a:solidFill>
      <a:srgbClr val="1E2130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solidFill>
              <a:srgbClr val="4FC3C7"/>
            </a:solidFill>
            <a:ln>
              <a:noFill/>
              <a:prstDash val="solid"/>
            </a:ln>
          </spPr>
          <cat>
            <numRef>
              <f>'Plan'!$C$14:$F$14</f>
            </numRef>
          </cat>
          <val>
            <numRef>
              <f>'Plan'!$C$19:$F$19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plotVisOnly val="1"/>
    <dispBlanksAs val="gap"/>
  </chart>
  <spPr>
    <a:solidFill>
      <a:srgbClr val="1E2130"/>
    </a:solidFill>
    <a:ln>
      <a:noFill/>
      <a:prstDash val="solid"/>
    </a:ln>
  </spPr>
</chartSpace>
</file>

<file path=xl/comments/comment1.xml><?xml version="1.0" encoding="utf-8"?>
<comments xmlns="http://schemas.openxmlformats.org/spreadsheetml/2006/main">
  <authors>
    <author>CheckMaybe</author>
  </authors>
  <commentList>
    <comment ref="F6" authorId="0" shapeId="0">
      <text>
        <t>The smallest payment your lender asks for each month.</t>
      </text>
    </comment>
    <comment ref="G6" authorId="0" shapeId="0">
      <text>
        <t>Yes = you've missed payments or it's in collections. Smart puts these first.</t>
      </text>
    </comment>
    <comment ref="H6" authorId="0" shapeId="0">
      <text>
        <t>Leave blank if you don't know the rule yet: it's treated as 'Allowed, no fee'.</t>
      </text>
    </comment>
    <comment ref="I6" authorId="0" shapeId="0">
      <text>
        <t>The fee your contract charges for paying the whole balance early. Blank = no fee.</t>
      </text>
    </comment>
    <comment ref="J6" authorId="0" shapeId="0">
      <text>
        <t>When the early-payoff fee or the lock-in period ends. Blank on a lock = treated as locked for now.</t>
      </text>
    </comment>
    <comment ref="K6" authorId="0" shapeId="0">
      <text>
        <t>Only for 0% or promo-rate deals. Blank = no promo.</t>
      </text>
    </comment>
    <comment ref="L6" authorId="0" shapeId="0">
      <text>
        <t>The rate after the promo ends. Blank = same as APR.</t>
      </text>
    </comment>
    <comment ref="M6" authorId="0" shapeId="0">
      <text>
        <t>Yes = if not paid in full by the promo end, back-interest from day one gets added (common on US store cards).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45</row>
      <rowOff>0</rowOff>
    </from>
    <ext cx="540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4FC3C7"/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2" customWidth="1" min="2" max="2"/>
  </cols>
  <sheetData>
    <row r="1">
      <c r="A1" s="1" t="n"/>
      <c r="B1" s="1" t="n"/>
      <c r="C1" s="1" t="n"/>
    </row>
    <row r="2" ht="30" customHeight="1">
      <c r="A2" s="1" t="n"/>
      <c r="B2" s="2" t="inlineStr">
        <is>
          <t>Start here</t>
        </is>
      </c>
      <c r="C2" s="1" t="n"/>
    </row>
    <row r="3">
      <c r="A3" s="1" t="n"/>
      <c r="B3" s="3" t="inlineStr">
        <is>
          <t>10 minutes to set up. Works with any currency.</t>
        </is>
      </c>
      <c r="C3" s="1" t="n"/>
    </row>
    <row r="4">
      <c r="A4" s="1" t="n"/>
      <c r="B4" s="1" t="n"/>
      <c r="C4" s="1" t="n"/>
    </row>
    <row r="5">
      <c r="A5" s="1" t="n"/>
      <c r="B5" s="4" t="inlineStr">
        <is>
          <t>1. My Debts: one row per debt. Fill the blue columns. Only Name, Balance, APR and Minimum payment are needed.</t>
        </is>
      </c>
      <c r="C5" s="1" t="n"/>
    </row>
    <row r="6">
      <c r="A6" s="1" t="n"/>
      <c r="B6" s="5" t="inlineStr">
        <is>
          <t xml:space="preserve">   • Optional columns can stay blank: blank = no fee, no lock, no promo, not behind. The maths still works.</t>
        </is>
      </c>
      <c r="C6" s="1" t="n"/>
    </row>
    <row r="7">
      <c r="A7" s="1" t="n"/>
      <c r="B7" s="5" t="inlineStr">
        <is>
          <t xml:space="preserve">   • Early payoff rule: if your contract charges a fee for paying early, pick 'Allowed with a fee' and enter the fee and when it ends.</t>
        </is>
      </c>
      <c r="C7" s="1" t="n"/>
    </row>
    <row r="8">
      <c r="A8" s="1" t="n"/>
      <c r="B8" s="5" t="inlineStr">
        <is>
          <t xml:space="preserve">     The sheet compares the fee with the interest you'd save. If the fee costs more, extra payments wait until the fee ends.</t>
        </is>
      </c>
      <c r="C8" s="1" t="n"/>
    </row>
    <row r="9">
      <c r="A9" s="1" t="n"/>
      <c r="B9" s="5" t="inlineStr">
        <is>
          <t xml:space="preserve">   • Locked until a date: no extra goes in until that date (minimums still get paid).</t>
        </is>
      </c>
      <c r="C9" s="1" t="n"/>
    </row>
    <row r="10">
      <c r="A10" s="1" t="n"/>
      <c r="B10" s="5" t="inlineStr">
        <is>
          <t xml:space="preserve">   • Not sure: minimums only, until you ask your lender and change the rule.</t>
        </is>
      </c>
      <c r="C10" s="1" t="n"/>
    </row>
    <row r="11">
      <c r="A11" s="1" t="n"/>
      <c r="B11" s="5" t="inlineStr">
        <is>
          <t xml:space="preserve">   • 0% / promo deals: enter the promo end date and the APR after it. Deferred interest = Yes if back-interest is added when you don't clear it in time.</t>
        </is>
      </c>
      <c r="C11" s="1" t="n"/>
    </row>
    <row r="12">
      <c r="A12" s="1" t="n"/>
      <c r="B12" s="4" t="inlineStr">
        <is>
          <t>2. Plan: enter how much you can put toward all debts each month, the start month, and any one-time extra.</t>
        </is>
      </c>
      <c r="C12" s="1" t="n"/>
    </row>
    <row r="13">
      <c r="A13" s="1" t="n"/>
      <c r="B13" s="4" t="inlineStr">
        <is>
          <t>3. Plan: pick a payoff order and compare all four. Smart is CheckMaybe's default:</t>
        </is>
      </c>
      <c r="C13" s="1" t="n"/>
    </row>
    <row r="14">
      <c r="A14" s="1" t="n"/>
      <c r="B14" s="5" t="inlineStr">
        <is>
          <t xml:space="preserve">   behind-on-payments first → deferred-interest deadlines → highest APR (or, if minimums take 35%+ of income, the debt that frees up the most monthly money).</t>
        </is>
      </c>
      <c r="C14" s="1" t="n"/>
    </row>
    <row r="15">
      <c r="A15" s="1" t="n"/>
      <c r="B15" s="4" t="inlineStr">
        <is>
          <t>4. Schedule: month by month, what's left on each debt.</t>
        </is>
      </c>
      <c r="C15" s="1" t="n"/>
    </row>
    <row r="16">
      <c r="A16" s="1" t="n"/>
      <c r="B16" s="5" t="inlineStr"/>
      <c r="C16" s="1" t="n"/>
    </row>
    <row r="17">
      <c r="A17" s="1" t="n"/>
      <c r="B17" s="5" t="inlineStr">
        <is>
          <t>How the extra money moves: every month all minimums get paid; whatever's left goes to the #1 debt that is allowed to take extra.</t>
        </is>
      </c>
      <c r="C17" s="1" t="n"/>
    </row>
    <row r="18">
      <c r="A18" s="1" t="n"/>
      <c r="B18" s="5" t="inlineStr">
        <is>
          <t>When a debt is cleared, its minimum rolls into the next one. Interest is APR ÷ 12 each month.</t>
        </is>
      </c>
      <c r="C18" s="1" t="n"/>
    </row>
    <row r="19">
      <c r="A19" s="1" t="n"/>
      <c r="B19" s="5" t="inlineStr"/>
      <c r="C19" s="1" t="n"/>
    </row>
    <row r="20">
      <c r="A20" s="1" t="n"/>
      <c r="B20" s="5" t="inlineStr">
        <is>
          <t>Estimates only. Not financial advice. Contracts differ by country and lender: your lender's figures are the final word.</t>
        </is>
      </c>
      <c r="C20" s="1" t="n"/>
    </row>
    <row r="21">
      <c r="A21" s="1" t="n"/>
      <c r="B21" s="5" t="inlineStr">
        <is>
          <t>Example rows are made up. Replace or clear them.</t>
        </is>
      </c>
      <c r="C21" s="1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  <row r="27">
      <c r="A27" s="1" t="n"/>
      <c r="B27" s="1" t="n"/>
      <c r="C27" s="1" t="n"/>
    </row>
    <row r="28">
      <c r="A28" s="1" t="n"/>
      <c r="B28" s="1" t="n"/>
      <c r="C28" s="1" t="n"/>
    </row>
    <row r="29">
      <c r="A29" s="1" t="n"/>
      <c r="B29" s="1" t="n"/>
      <c r="C29" s="1" t="n"/>
    </row>
    <row r="30">
      <c r="A30" s="1" t="n"/>
      <c r="B30" s="1" t="n"/>
      <c r="C30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8A4B"/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  <col width="3" customWidth="1" min="7" max="7"/>
    <col width="26" customWidth="1" min="8" max="8"/>
    <col width="34" customWidth="1" min="9" max="9"/>
    <col hidden="1" width="13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2" t="inlineStr">
        <is>
          <t>Debt Payoff Planner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3" t="inlineStr">
        <is>
          <t>Set your budget here, list your debts on My Debts. Blue headers = you fill in.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24" customHeight="1">
      <c r="A4" s="1" t="n"/>
      <c r="B4" s="6" t="inlineStr">
        <is>
          <t>SETTING</t>
        </is>
      </c>
      <c r="C4" s="6" t="inlineStr">
        <is>
          <t>VALUE</t>
        </is>
      </c>
      <c r="D4" s="1" t="n"/>
      <c r="E4" s="1" t="n"/>
      <c r="F4" s="1" t="n"/>
      <c r="G4" s="1" t="n"/>
      <c r="H4" s="7" t="inlineStr">
        <is>
          <t>YOUR CHOSEN ORDER</t>
        </is>
      </c>
      <c r="I4" s="1" t="n"/>
      <c r="J4" s="1" t="n"/>
    </row>
    <row r="5" ht="26" customHeight="1">
      <c r="A5" s="1" t="n"/>
      <c r="B5" s="8" t="inlineStr">
        <is>
          <t>Money for debts each month</t>
        </is>
      </c>
      <c r="C5" s="9" t="n">
        <v>1500</v>
      </c>
      <c r="D5" s="10" t="inlineStr">
        <is>
          <t>Total you can put toward ALL debts each month, minimums included.</t>
        </is>
      </c>
      <c r="G5" s="1" t="n"/>
      <c r="H5" s="11" t="inlineStr">
        <is>
          <t>DEBT-FREE</t>
        </is>
      </c>
      <c r="I5" s="12">
        <f>INDEX(C15:F15,Plan!$K$5)</f>
        <v/>
      </c>
      <c r="J5" s="1" t="n"/>
      <c r="K5">
        <f>MATCH($C$9,{"Smart (CheckMaybe order)","Avalanche (highest APR first)","Snowball (smallest balance first)","Cash-flow (free up monthly money first)"},0)</f>
        <v/>
      </c>
    </row>
    <row r="6" ht="26" customHeight="1">
      <c r="A6" s="1" t="n"/>
      <c r="B6" s="13" t="inlineStr">
        <is>
          <t>Plan starts</t>
        </is>
      </c>
      <c r="C6" s="14" t="n">
        <v>46327</v>
      </c>
      <c r="D6" s="15" t="inlineStr">
        <is>
          <t>First month of the plan. Use the 1st of the month.</t>
        </is>
      </c>
      <c r="G6" s="1" t="n"/>
      <c r="H6" s="11" t="inlineStr">
        <is>
          <t>MONTHS TO GO</t>
        </is>
      </c>
      <c r="I6" s="16">
        <f>INDEX(C16:F16,Plan!$K$5)</f>
        <v/>
      </c>
      <c r="J6" s="1" t="n"/>
      <c r="K6">
        <f>SUMPRODUCT(('My Debts'!$D$7:$D$18&gt;0)*N(+'My Debts'!$F$7:$F$18))</f>
        <v/>
      </c>
    </row>
    <row r="7" ht="26" customHeight="1">
      <c r="A7" s="1" t="n"/>
      <c r="B7" s="8" t="inlineStr">
        <is>
          <t>One-time extra (optional)</t>
        </is>
      </c>
      <c r="C7" s="9" t="n">
        <v>0</v>
      </c>
      <c r="D7" s="10" t="inlineStr">
        <is>
          <t>A bonus, tax refund or savings you'll throw at debt once. Leave 0 if none.</t>
        </is>
      </c>
      <c r="G7" s="1" t="n"/>
      <c r="H7" s="11" t="inlineStr">
        <is>
          <t>INTEREST YOU'LL PAY</t>
        </is>
      </c>
      <c r="I7" s="17">
        <f>INDEX(C17:F17,Plan!$K$5)</f>
        <v/>
      </c>
      <c r="J7" s="1" t="n"/>
      <c r="K7">
        <f>AND(N($C$10)&gt;0,$K$6/MAX(1,N($C$10))&gt;=0.35)</f>
        <v/>
      </c>
    </row>
    <row r="8" ht="26" customHeight="1">
      <c r="A8" s="1" t="n"/>
      <c r="B8" s="13" t="inlineStr">
        <is>
          <t>…in plan month #</t>
        </is>
      </c>
      <c r="C8" s="18" t="n">
        <v>1</v>
      </c>
      <c r="D8" s="15" t="inlineStr">
        <is>
          <t>Which month the one-time extra goes in (1 = first month).</t>
        </is>
      </c>
      <c r="G8" s="1" t="n"/>
      <c r="H8" s="11" t="inlineStr">
        <is>
          <t>EARLY-PAYOFF FEES</t>
        </is>
      </c>
      <c r="I8" s="19">
        <f>INDEX(C18:F18,Plan!$K$5)</f>
        <v/>
      </c>
      <c r="J8" s="1" t="n"/>
      <c r="K8">
        <f>COUNTIFS('My Debts'!$D$7:$D$18,"&gt;0")</f>
        <v/>
      </c>
    </row>
    <row r="9" ht="26" customHeight="1">
      <c r="A9" s="1" t="n"/>
      <c r="B9" s="8" t="inlineStr">
        <is>
          <t>Payoff order</t>
        </is>
      </c>
      <c r="C9" s="20" t="inlineStr">
        <is>
          <t>Smart (CheckMaybe order)</t>
        </is>
      </c>
      <c r="D9" s="10" t="inlineStr">
        <is>
          <t>Smart is the default. Compare all four on the right.</t>
        </is>
      </c>
      <c r="G9" s="1" t="n"/>
      <c r="H9" s="11" t="inlineStr">
        <is>
          <t>MINIMUMS ONLY: INTEREST</t>
        </is>
      </c>
      <c r="I9" s="21">
        <f>IF(COUNT('My Debts'!$P$7:$P$18)=0,"",SUM('My Debts'!$P$7:$P$18))</f>
        <v/>
      </c>
      <c r="J9" s="1" t="n"/>
    </row>
    <row r="10" ht="26" customHeight="1">
      <c r="A10" s="1" t="n"/>
      <c r="B10" s="13" t="inlineStr">
        <is>
          <t>Monthly take-home income (optional)</t>
        </is>
      </c>
      <c r="C10" s="22" t="n">
        <v>3800</v>
      </c>
      <c r="D10" s="15" t="inlineStr">
        <is>
          <t>Used only to spot money pressure: if minimums take 35%+ of income, Smart frees up monthly money first.</t>
        </is>
      </c>
      <c r="G10" s="1" t="n"/>
      <c r="H10" s="11" t="inlineStr">
        <is>
          <t>YOU SAVE VS MINIMUMS ONLY</t>
        </is>
      </c>
      <c r="I10" s="23">
        <f>IF(OR(I9="",NOT(ISNUMBER(I7))),"",MAX(0,I9-I7-I8))</f>
        <v/>
      </c>
      <c r="J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24" t="inlineStr">
        <is>
          <t>Minimums-only ignores debts that minimums never clear.</t>
        </is>
      </c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5" t="inlineStr">
        <is>
          <t>COMPARE THE FOUR ORDERS</t>
        </is>
      </c>
      <c r="C13" s="1" t="n"/>
      <c r="D13" s="1" t="n"/>
      <c r="E13" s="1" t="n"/>
      <c r="F13" s="1" t="n"/>
      <c r="G13" s="1" t="n"/>
      <c r="H13" s="7" t="inlineStr">
        <is>
          <t>TOTAL LEFT, FIRST 10 YEARS</t>
        </is>
      </c>
      <c r="I13" s="1" t="n"/>
      <c r="J13" s="1" t="n"/>
    </row>
    <row r="14" ht="24" customHeight="1">
      <c r="A14" s="1" t="n"/>
      <c r="B14" s="26" t="inlineStr"/>
      <c r="C14" s="26" t="inlineStr">
        <is>
          <t>SMART</t>
        </is>
      </c>
      <c r="D14" s="26" t="inlineStr">
        <is>
          <t>AVALANCHE</t>
        </is>
      </c>
      <c r="E14" s="26" t="inlineStr">
        <is>
          <t>SNOWBALL</t>
        </is>
      </c>
      <c r="F14" s="26" t="inlineStr">
        <is>
          <t>CASH-FLOW</t>
        </is>
      </c>
      <c r="G14" s="1" t="n"/>
      <c r="H14" s="1" t="n"/>
      <c r="I14" s="1" t="n"/>
      <c r="J14" s="1" t="n"/>
    </row>
    <row r="15">
      <c r="A15" s="1" t="n"/>
      <c r="B15" s="27" t="inlineStr">
        <is>
          <t>Debt-free</t>
        </is>
      </c>
      <c r="C15" s="28">
        <f>'Calc Smart'!$B$5</f>
        <v/>
      </c>
      <c r="D15" s="28">
        <f>'Calc Avalanche'!$B$5</f>
        <v/>
      </c>
      <c r="E15" s="28">
        <f>'Calc Snowball'!$B$5</f>
        <v/>
      </c>
      <c r="F15" s="28">
        <f>'Calc Cashflow'!$B$5</f>
        <v/>
      </c>
      <c r="G15" s="1" t="n"/>
      <c r="H15" s="1" t="n"/>
      <c r="I15" s="1" t="n"/>
      <c r="J15" s="1" t="n"/>
    </row>
    <row r="16">
      <c r="A16" s="1" t="n"/>
      <c r="B16" s="29" t="inlineStr">
        <is>
          <t>Months to debt-free</t>
        </is>
      </c>
      <c r="C16" s="30">
        <f>'Calc Smart'!$B$6</f>
        <v/>
      </c>
      <c r="D16" s="30">
        <f>'Calc Avalanche'!$B$6</f>
        <v/>
      </c>
      <c r="E16" s="30">
        <f>'Calc Snowball'!$B$6</f>
        <v/>
      </c>
      <c r="F16" s="30">
        <f>'Calc Cashflow'!$B$6</f>
        <v/>
      </c>
      <c r="G16" s="1" t="n"/>
      <c r="H16" s="1" t="n"/>
      <c r="I16" s="1" t="n"/>
      <c r="J16" s="1" t="n"/>
    </row>
    <row r="17">
      <c r="A17" s="1" t="n"/>
      <c r="B17" s="27" t="inlineStr">
        <is>
          <t>Total interest</t>
        </is>
      </c>
      <c r="C17" s="31">
        <f>'Calc Smart'!$B$7</f>
        <v/>
      </c>
      <c r="D17" s="31">
        <f>'Calc Avalanche'!$B$7</f>
        <v/>
      </c>
      <c r="E17" s="31">
        <f>'Calc Snowball'!$B$7</f>
        <v/>
      </c>
      <c r="F17" s="31">
        <f>'Calc Cashflow'!$B$7</f>
        <v/>
      </c>
      <c r="G17" s="1" t="n"/>
      <c r="H17" s="1" t="n"/>
      <c r="I17" s="1" t="n"/>
      <c r="J17" s="1" t="n"/>
    </row>
    <row r="18">
      <c r="A18" s="1" t="n"/>
      <c r="B18" s="29" t="inlineStr">
        <is>
          <t>Early-payoff fees paid</t>
        </is>
      </c>
      <c r="C18" s="32">
        <f>'Calc Smart'!$B$8</f>
        <v/>
      </c>
      <c r="D18" s="32">
        <f>'Calc Avalanche'!$B$8</f>
        <v/>
      </c>
      <c r="E18" s="32">
        <f>'Calc Snowball'!$B$8</f>
        <v/>
      </c>
      <c r="F18" s="32">
        <f>'Calc Cashflow'!$B$8</f>
        <v/>
      </c>
      <c r="G18" s="1" t="n"/>
      <c r="H18" s="1" t="n"/>
      <c r="I18" s="1" t="n"/>
      <c r="J18" s="1" t="n"/>
    </row>
    <row r="19">
      <c r="A19" s="1" t="n"/>
      <c r="B19" s="27" t="inlineStr">
        <is>
          <t>Interest + fees</t>
        </is>
      </c>
      <c r="C19" s="31">
        <f>'Calc Smart'!$B$7+'Calc Smart'!$B$8</f>
        <v/>
      </c>
      <c r="D19" s="31">
        <f>'Calc Avalanche'!$B$7+'Calc Avalanche'!$B$8</f>
        <v/>
      </c>
      <c r="E19" s="31">
        <f>'Calc Snowball'!$B$7+'Calc Snowball'!$B$8</f>
        <v/>
      </c>
      <c r="F19" s="31">
        <f>'Calc Cashflow'!$B$7+'Calc Cashflow'!$B$8</f>
        <v/>
      </c>
      <c r="G19" s="1" t="n"/>
      <c r="H19" s="1" t="n"/>
      <c r="I19" s="1" t="n"/>
      <c r="J19" s="1" t="n"/>
    </row>
    <row r="20">
      <c r="A20" s="1" t="n"/>
      <c r="B20" s="29" t="inlineStr">
        <is>
          <t>First debt cleared</t>
        </is>
      </c>
      <c r="C20" s="33">
        <f>'Calc Smart'!$B$9</f>
        <v/>
      </c>
      <c r="D20" s="33">
        <f>'Calc Avalanche'!$B$9</f>
        <v/>
      </c>
      <c r="E20" s="33">
        <f>'Calc Snowball'!$B$9</f>
        <v/>
      </c>
      <c r="F20" s="33">
        <f>'Calc Cashflow'!$B$9</f>
        <v/>
      </c>
      <c r="G20" s="1" t="n"/>
      <c r="H20" s="1" t="n"/>
      <c r="I20" s="1" t="n"/>
      <c r="J20" s="1" t="n"/>
    </row>
    <row r="21">
      <c r="A21" s="1" t="n"/>
      <c r="B21" s="24" t="inlineStr">
        <is>
          <t>Green = best in that row. If a month shows "-", that plan doesn't finish within 30 years: raise the monthly amount.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34" t="inlineStr">
        <is>
          <t>CHECKS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</row>
    <row r="24" ht="28" customHeight="1">
      <c r="A24" s="1" t="n"/>
      <c r="B24" s="35">
        <f>IF(Plan!$C$5&lt;Plan!$K$6,"⚠ Your monthly amount is less than your minimum payments ("&amp;TEXT(Plan!$K$6,"#,##0")&amp;"). The plan assumes you still pay every minimum.","✓ Monthly amount covers all minimums ("&amp;TEXT(Plan!$K$6,"#,##0")&amp;"). Extra each month: "&amp;TEXT(Plan!$C$5-Plan!$K$6,"#,##0"))</f>
        <v/>
      </c>
      <c r="G24" s="1" t="n"/>
      <c r="H24" s="1" t="n"/>
      <c r="I24" s="1" t="n"/>
      <c r="J24" s="1" t="n"/>
    </row>
    <row r="25" ht="28" customHeight="1">
      <c r="A25" s="1" t="n"/>
      <c r="B25" s="36">
        <f>IF(COUNTIF('My Debts'!$Q$7:$Q$18,"Minimum doesn't cover interest*")&gt;0,"⚠ At least one minimum payment doesn't cover its interest: that debt grows unless you pay more.","✓ Every minimum payment covers its interest.")</f>
        <v/>
      </c>
      <c r="G25" s="1" t="n"/>
      <c r="H25" s="1" t="n"/>
      <c r="I25" s="1" t="n"/>
      <c r="J25" s="1" t="n"/>
    </row>
    <row r="26" ht="28" customHeight="1">
      <c r="A26" s="1" t="n"/>
      <c r="B26" s="35">
        <f>IF(COUNTIF('My Debts'!$Q$7:$Q$18,"Ask your lender*")+COUNTIF('My Debts'!$Q$7:$Q$18,"Locked*")+COUNTIF('My Debts'!$Q$7:$Q$18,"Wait*")&gt;0,"ℹ Some debts get minimums only until they unlock (see My Debts › Early payoff check).","✓ No locked or uncertain debts.")</f>
        <v/>
      </c>
      <c r="G26" s="1" t="n"/>
      <c r="H26" s="1" t="n"/>
      <c r="I26" s="1" t="n"/>
      <c r="J26" s="1" t="n"/>
    </row>
    <row r="27" ht="28" customHeight="1">
      <c r="A27" s="1" t="n"/>
      <c r="B27" s="36">
        <f>IF(Plan!$K$7,"ℹ Minimums take 35%+ of your income: Smart frees up monthly money first, then switches to highest APR.","ℹ Smart: behind-on-payments first, then 0%-promo deadlines, then highest APR.")</f>
        <v/>
      </c>
      <c r="G27" s="1" t="n"/>
      <c r="H27" s="1" t="n"/>
      <c r="I27" s="1" t="n"/>
      <c r="J27" s="1" t="n"/>
    </row>
    <row r="28" ht="28" customHeight="1">
      <c r="A28" s="1" t="n"/>
      <c r="B28" s="35">
        <f>IF(COUNTIF('My Debts'!$AE$7:$AE$18,TRUE)&gt;0,"⚠ A deferred-interest debt is cleared after its promo ends in this order: back-interest would be added (not in these totals). Smart avoids this when it can.","✓ No deferred-interest deadline missed in this order.")</f>
        <v/>
      </c>
      <c r="G28" s="1" t="n"/>
      <c r="H28" s="1" t="n"/>
      <c r="I28" s="1" t="n"/>
      <c r="J28" s="1" t="n"/>
    </row>
    <row r="29" ht="22" customHeight="1">
      <c r="A29" s="1" t="n"/>
      <c r="B29" s="7" t="inlineStr">
        <is>
          <t>YOUR PAYOFF ORDER (CHOSEN)</t>
        </is>
      </c>
      <c r="C29" s="1" t="n"/>
      <c r="D29" s="1" t="n"/>
      <c r="E29" s="1" t="n"/>
      <c r="F29" s="1" t="n"/>
      <c r="G29" s="1" t="n"/>
      <c r="H29" s="25" t="inlineStr">
        <is>
          <t>INTEREST + FEES BY ORDER</t>
        </is>
      </c>
      <c r="I29" s="1" t="n"/>
      <c r="J29" s="1" t="n"/>
    </row>
    <row r="30" ht="24" customHeight="1">
      <c r="A30" s="1" t="n"/>
      <c r="B30" s="37" t="inlineStr">
        <is>
          <t>#</t>
        </is>
      </c>
      <c r="C30" s="37" t="inlineStr">
        <is>
          <t>DEBT</t>
        </is>
      </c>
      <c r="D30" s="37" t="inlineStr">
        <is>
          <t>BALANCE</t>
        </is>
      </c>
      <c r="E30" s="37" t="inlineStr">
        <is>
          <t>APR</t>
        </is>
      </c>
      <c r="F30" s="37" t="inlineStr">
        <is>
          <t>PAID OFF</t>
        </is>
      </c>
      <c r="G30" s="37" t="inlineStr">
        <is>
          <t>WHY / NOTE</t>
        </is>
      </c>
      <c r="H30" s="38" t="n"/>
      <c r="I30" s="39" t="n"/>
      <c r="J30" s="1" t="n"/>
    </row>
    <row r="31">
      <c r="A31" s="1" t="n"/>
      <c r="B31" s="40">
        <f>IF(1&lt;=Plan!$K$8,1,"")</f>
        <v/>
      </c>
      <c r="C31" s="8">
        <f>IFERROR(INDEX('My Debts'!$B$7:$B$18,MATCH(1,'My Debts'!$S$7:$S$18,0)),"")</f>
        <v/>
      </c>
      <c r="D31" s="31">
        <f>IFERROR(INDEX('My Debts'!$D$7:$D$18,MATCH(1,'My Debts'!$S$7:$S$18,0)),"")</f>
        <v/>
      </c>
      <c r="E31" s="41">
        <f>IFERROR(INDEX('My Debts'!$E$7:$E$18,MATCH(1,'My Debts'!$S$7:$S$18,0)),"")</f>
        <v/>
      </c>
      <c r="F31" s="28">
        <f>IFERROR(INDEX('My Debts'!$T$7:$T$18,MATCH(1,'My Debts'!$S$7:$S$18,0)),"")</f>
        <v/>
      </c>
      <c r="G31" s="42">
        <f>IFERROR(INDEX('My Debts'!$V$7:$V$18,MATCH(1,'My Debts'!$S$7:$S$18,0)),"")</f>
        <v/>
      </c>
      <c r="J31" s="1" t="n"/>
    </row>
    <row r="32">
      <c r="A32" s="1" t="n"/>
      <c r="B32" s="43">
        <f>IF(2&lt;=Plan!$K$8,2,"")</f>
        <v/>
      </c>
      <c r="C32" s="13">
        <f>IFERROR(INDEX('My Debts'!$B$7:$B$18,MATCH(2,'My Debts'!$S$7:$S$18,0)),"")</f>
        <v/>
      </c>
      <c r="D32" s="32">
        <f>IFERROR(INDEX('My Debts'!$D$7:$D$18,MATCH(2,'My Debts'!$S$7:$S$18,0)),"")</f>
        <v/>
      </c>
      <c r="E32" s="44">
        <f>IFERROR(INDEX('My Debts'!$E$7:$E$18,MATCH(2,'My Debts'!$S$7:$S$18,0)),"")</f>
        <v/>
      </c>
      <c r="F32" s="33">
        <f>IFERROR(INDEX('My Debts'!$T$7:$T$18,MATCH(2,'My Debts'!$S$7:$S$18,0)),"")</f>
        <v/>
      </c>
      <c r="G32" s="45">
        <f>IFERROR(INDEX('My Debts'!$V$7:$V$18,MATCH(2,'My Debts'!$S$7:$S$18,0)),"")</f>
        <v/>
      </c>
      <c r="J32" s="1" t="n"/>
    </row>
    <row r="33">
      <c r="A33" s="1" t="n"/>
      <c r="B33" s="40">
        <f>IF(3&lt;=Plan!$K$8,3,"")</f>
        <v/>
      </c>
      <c r="C33" s="8">
        <f>IFERROR(INDEX('My Debts'!$B$7:$B$18,MATCH(3,'My Debts'!$S$7:$S$18,0)),"")</f>
        <v/>
      </c>
      <c r="D33" s="31">
        <f>IFERROR(INDEX('My Debts'!$D$7:$D$18,MATCH(3,'My Debts'!$S$7:$S$18,0)),"")</f>
        <v/>
      </c>
      <c r="E33" s="41">
        <f>IFERROR(INDEX('My Debts'!$E$7:$E$18,MATCH(3,'My Debts'!$S$7:$S$18,0)),"")</f>
        <v/>
      </c>
      <c r="F33" s="28">
        <f>IFERROR(INDEX('My Debts'!$T$7:$T$18,MATCH(3,'My Debts'!$S$7:$S$18,0)),"")</f>
        <v/>
      </c>
      <c r="G33" s="42">
        <f>IFERROR(INDEX('My Debts'!$V$7:$V$18,MATCH(3,'My Debts'!$S$7:$S$18,0)),"")</f>
        <v/>
      </c>
      <c r="J33" s="1" t="n"/>
    </row>
    <row r="34">
      <c r="A34" s="1" t="n"/>
      <c r="B34" s="43">
        <f>IF(4&lt;=Plan!$K$8,4,"")</f>
        <v/>
      </c>
      <c r="C34" s="13">
        <f>IFERROR(INDEX('My Debts'!$B$7:$B$18,MATCH(4,'My Debts'!$S$7:$S$18,0)),"")</f>
        <v/>
      </c>
      <c r="D34" s="32">
        <f>IFERROR(INDEX('My Debts'!$D$7:$D$18,MATCH(4,'My Debts'!$S$7:$S$18,0)),"")</f>
        <v/>
      </c>
      <c r="E34" s="44">
        <f>IFERROR(INDEX('My Debts'!$E$7:$E$18,MATCH(4,'My Debts'!$S$7:$S$18,0)),"")</f>
        <v/>
      </c>
      <c r="F34" s="33">
        <f>IFERROR(INDEX('My Debts'!$T$7:$T$18,MATCH(4,'My Debts'!$S$7:$S$18,0)),"")</f>
        <v/>
      </c>
      <c r="G34" s="45">
        <f>IFERROR(INDEX('My Debts'!$V$7:$V$18,MATCH(4,'My Debts'!$S$7:$S$18,0)),"")</f>
        <v/>
      </c>
      <c r="J34" s="1" t="n"/>
    </row>
    <row r="35">
      <c r="A35" s="1" t="n"/>
      <c r="B35" s="40">
        <f>IF(5&lt;=Plan!$K$8,5,"")</f>
        <v/>
      </c>
      <c r="C35" s="8">
        <f>IFERROR(INDEX('My Debts'!$B$7:$B$18,MATCH(5,'My Debts'!$S$7:$S$18,0)),"")</f>
        <v/>
      </c>
      <c r="D35" s="31">
        <f>IFERROR(INDEX('My Debts'!$D$7:$D$18,MATCH(5,'My Debts'!$S$7:$S$18,0)),"")</f>
        <v/>
      </c>
      <c r="E35" s="41">
        <f>IFERROR(INDEX('My Debts'!$E$7:$E$18,MATCH(5,'My Debts'!$S$7:$S$18,0)),"")</f>
        <v/>
      </c>
      <c r="F35" s="28">
        <f>IFERROR(INDEX('My Debts'!$T$7:$T$18,MATCH(5,'My Debts'!$S$7:$S$18,0)),"")</f>
        <v/>
      </c>
      <c r="G35" s="42">
        <f>IFERROR(INDEX('My Debts'!$V$7:$V$18,MATCH(5,'My Debts'!$S$7:$S$18,0)),"")</f>
        <v/>
      </c>
      <c r="J35" s="1" t="n"/>
    </row>
    <row r="36">
      <c r="A36" s="1" t="n"/>
      <c r="B36" s="43">
        <f>IF(6&lt;=Plan!$K$8,6,"")</f>
        <v/>
      </c>
      <c r="C36" s="13">
        <f>IFERROR(INDEX('My Debts'!$B$7:$B$18,MATCH(6,'My Debts'!$S$7:$S$18,0)),"")</f>
        <v/>
      </c>
      <c r="D36" s="32">
        <f>IFERROR(INDEX('My Debts'!$D$7:$D$18,MATCH(6,'My Debts'!$S$7:$S$18,0)),"")</f>
        <v/>
      </c>
      <c r="E36" s="44">
        <f>IFERROR(INDEX('My Debts'!$E$7:$E$18,MATCH(6,'My Debts'!$S$7:$S$18,0)),"")</f>
        <v/>
      </c>
      <c r="F36" s="33">
        <f>IFERROR(INDEX('My Debts'!$T$7:$T$18,MATCH(6,'My Debts'!$S$7:$S$18,0)),"")</f>
        <v/>
      </c>
      <c r="G36" s="45">
        <f>IFERROR(INDEX('My Debts'!$V$7:$V$18,MATCH(6,'My Debts'!$S$7:$S$18,0)),"")</f>
        <v/>
      </c>
      <c r="J36" s="1" t="n"/>
    </row>
    <row r="37">
      <c r="A37" s="1" t="n"/>
      <c r="B37" s="40">
        <f>IF(7&lt;=Plan!$K$8,7,"")</f>
        <v/>
      </c>
      <c r="C37" s="8">
        <f>IFERROR(INDEX('My Debts'!$B$7:$B$18,MATCH(7,'My Debts'!$S$7:$S$18,0)),"")</f>
        <v/>
      </c>
      <c r="D37" s="31">
        <f>IFERROR(INDEX('My Debts'!$D$7:$D$18,MATCH(7,'My Debts'!$S$7:$S$18,0)),"")</f>
        <v/>
      </c>
      <c r="E37" s="41">
        <f>IFERROR(INDEX('My Debts'!$E$7:$E$18,MATCH(7,'My Debts'!$S$7:$S$18,0)),"")</f>
        <v/>
      </c>
      <c r="F37" s="28">
        <f>IFERROR(INDEX('My Debts'!$T$7:$T$18,MATCH(7,'My Debts'!$S$7:$S$18,0)),"")</f>
        <v/>
      </c>
      <c r="G37" s="42">
        <f>IFERROR(INDEX('My Debts'!$V$7:$V$18,MATCH(7,'My Debts'!$S$7:$S$18,0)),"")</f>
        <v/>
      </c>
      <c r="J37" s="1" t="n"/>
    </row>
    <row r="38">
      <c r="A38" s="1" t="n"/>
      <c r="B38" s="43">
        <f>IF(8&lt;=Plan!$K$8,8,"")</f>
        <v/>
      </c>
      <c r="C38" s="13">
        <f>IFERROR(INDEX('My Debts'!$B$7:$B$18,MATCH(8,'My Debts'!$S$7:$S$18,0)),"")</f>
        <v/>
      </c>
      <c r="D38" s="32">
        <f>IFERROR(INDEX('My Debts'!$D$7:$D$18,MATCH(8,'My Debts'!$S$7:$S$18,0)),"")</f>
        <v/>
      </c>
      <c r="E38" s="44">
        <f>IFERROR(INDEX('My Debts'!$E$7:$E$18,MATCH(8,'My Debts'!$S$7:$S$18,0)),"")</f>
        <v/>
      </c>
      <c r="F38" s="33">
        <f>IFERROR(INDEX('My Debts'!$T$7:$T$18,MATCH(8,'My Debts'!$S$7:$S$18,0)),"")</f>
        <v/>
      </c>
      <c r="G38" s="45">
        <f>IFERROR(INDEX('My Debts'!$V$7:$V$18,MATCH(8,'My Debts'!$S$7:$S$18,0)),"")</f>
        <v/>
      </c>
      <c r="J38" s="1" t="n"/>
    </row>
    <row r="39">
      <c r="A39" s="1" t="n"/>
      <c r="B39" s="40">
        <f>IF(9&lt;=Plan!$K$8,9,"")</f>
        <v/>
      </c>
      <c r="C39" s="8">
        <f>IFERROR(INDEX('My Debts'!$B$7:$B$18,MATCH(9,'My Debts'!$S$7:$S$18,0)),"")</f>
        <v/>
      </c>
      <c r="D39" s="31">
        <f>IFERROR(INDEX('My Debts'!$D$7:$D$18,MATCH(9,'My Debts'!$S$7:$S$18,0)),"")</f>
        <v/>
      </c>
      <c r="E39" s="41">
        <f>IFERROR(INDEX('My Debts'!$E$7:$E$18,MATCH(9,'My Debts'!$S$7:$S$18,0)),"")</f>
        <v/>
      </c>
      <c r="F39" s="28">
        <f>IFERROR(INDEX('My Debts'!$T$7:$T$18,MATCH(9,'My Debts'!$S$7:$S$18,0)),"")</f>
        <v/>
      </c>
      <c r="G39" s="42">
        <f>IFERROR(INDEX('My Debts'!$V$7:$V$18,MATCH(9,'My Debts'!$S$7:$S$18,0)),"")</f>
        <v/>
      </c>
      <c r="J39" s="1" t="n"/>
    </row>
    <row r="40">
      <c r="A40" s="1" t="n"/>
      <c r="B40" s="43">
        <f>IF(10&lt;=Plan!$K$8,10,"")</f>
        <v/>
      </c>
      <c r="C40" s="13">
        <f>IFERROR(INDEX('My Debts'!$B$7:$B$18,MATCH(10,'My Debts'!$S$7:$S$18,0)),"")</f>
        <v/>
      </c>
      <c r="D40" s="32">
        <f>IFERROR(INDEX('My Debts'!$D$7:$D$18,MATCH(10,'My Debts'!$S$7:$S$18,0)),"")</f>
        <v/>
      </c>
      <c r="E40" s="44">
        <f>IFERROR(INDEX('My Debts'!$E$7:$E$18,MATCH(10,'My Debts'!$S$7:$S$18,0)),"")</f>
        <v/>
      </c>
      <c r="F40" s="33">
        <f>IFERROR(INDEX('My Debts'!$T$7:$T$18,MATCH(10,'My Debts'!$S$7:$S$18,0)),"")</f>
        <v/>
      </c>
      <c r="G40" s="45">
        <f>IFERROR(INDEX('My Debts'!$V$7:$V$18,MATCH(10,'My Debts'!$S$7:$S$18,0)),"")</f>
        <v/>
      </c>
      <c r="J40" s="1" t="n"/>
    </row>
    <row r="41">
      <c r="A41" s="1" t="n"/>
      <c r="B41" s="40">
        <f>IF(11&lt;=Plan!$K$8,11,"")</f>
        <v/>
      </c>
      <c r="C41" s="8">
        <f>IFERROR(INDEX('My Debts'!$B$7:$B$18,MATCH(11,'My Debts'!$S$7:$S$18,0)),"")</f>
        <v/>
      </c>
      <c r="D41" s="31">
        <f>IFERROR(INDEX('My Debts'!$D$7:$D$18,MATCH(11,'My Debts'!$S$7:$S$18,0)),"")</f>
        <v/>
      </c>
      <c r="E41" s="41">
        <f>IFERROR(INDEX('My Debts'!$E$7:$E$18,MATCH(11,'My Debts'!$S$7:$S$18,0)),"")</f>
        <v/>
      </c>
      <c r="F41" s="28">
        <f>IFERROR(INDEX('My Debts'!$T$7:$T$18,MATCH(11,'My Debts'!$S$7:$S$18,0)),"")</f>
        <v/>
      </c>
      <c r="G41" s="42">
        <f>IFERROR(INDEX('My Debts'!$V$7:$V$18,MATCH(11,'My Debts'!$S$7:$S$18,0)),"")</f>
        <v/>
      </c>
      <c r="J41" s="1" t="n"/>
    </row>
    <row r="42">
      <c r="A42" s="1" t="n"/>
      <c r="B42" s="43">
        <f>IF(12&lt;=Plan!$K$8,12,"")</f>
        <v/>
      </c>
      <c r="C42" s="13">
        <f>IFERROR(INDEX('My Debts'!$B$7:$B$18,MATCH(12,'My Debts'!$S$7:$S$18,0)),"")</f>
        <v/>
      </c>
      <c r="D42" s="32">
        <f>IFERROR(INDEX('My Debts'!$D$7:$D$18,MATCH(12,'My Debts'!$S$7:$S$18,0)),"")</f>
        <v/>
      </c>
      <c r="E42" s="44">
        <f>IFERROR(INDEX('My Debts'!$E$7:$E$18,MATCH(12,'My Debts'!$S$7:$S$18,0)),"")</f>
        <v/>
      </c>
      <c r="F42" s="33">
        <f>IFERROR(INDEX('My Debts'!$T$7:$T$18,MATCH(12,'My Debts'!$S$7:$S$18,0)),"")</f>
        <v/>
      </c>
      <c r="G42" s="45">
        <f>IFERROR(INDEX('My Debts'!$V$7:$V$18,MATCH(12,'My Debts'!$S$7:$S$18,0)),"")</f>
        <v/>
      </c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24" t="inlineStr">
        <is>
          <t>Estimates only, not financial advice. Interest is worked out monthly at APR÷12; your lender's method, fees and rules are the final word. Example debts are made up: replace them with yours.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</sheetData>
  <mergeCells count="24">
    <mergeCell ref="G38:I38"/>
    <mergeCell ref="G37:I37"/>
    <mergeCell ref="B25:F25"/>
    <mergeCell ref="G34:I34"/>
    <mergeCell ref="D7:F7"/>
    <mergeCell ref="G30:I30"/>
    <mergeCell ref="B27:F27"/>
    <mergeCell ref="G33:I33"/>
    <mergeCell ref="G35:I35"/>
    <mergeCell ref="D9:F9"/>
    <mergeCell ref="D8:F8"/>
    <mergeCell ref="G32:I32"/>
    <mergeCell ref="D5:F5"/>
    <mergeCell ref="G41:I41"/>
    <mergeCell ref="B28:F28"/>
    <mergeCell ref="G31:I31"/>
    <mergeCell ref="G40:I40"/>
    <mergeCell ref="D10:F10"/>
    <mergeCell ref="G36:I36"/>
    <mergeCell ref="G42:I42"/>
    <mergeCell ref="B24:F24"/>
    <mergeCell ref="G39:I39"/>
    <mergeCell ref="D6:F6"/>
    <mergeCell ref="B26:F26"/>
  </mergeCells>
  <conditionalFormatting sqref="C19:F19">
    <cfRule type="expression" priority="1" dxfId="0">
      <formula>AND(ISNUMBER(C19),C19=MIN($C$19:$F$19))</formula>
    </cfRule>
  </conditionalFormatting>
  <conditionalFormatting sqref="C15:F15">
    <cfRule type="expression" priority="2" dxfId="0">
      <formula>AND(ISNUMBER(C15),C15=MIN($C$15:$F$15))</formula>
    </cfRule>
  </conditionalFormatting>
  <dataValidations count="1">
    <dataValidation sqref="C9" showDropDown="0" showInputMessage="0" showErrorMessage="0" allowBlank="1" type="list">
      <formula1>"Smart (CheckMaybe order),Avalanche (highest APR first),Snowball (smallest balance first),Cash-flow (free up monthly money first)"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AB4FF"/>
    <outlinePr summaryBelow="1" summaryRight="1"/>
    <pageSetUpPr/>
  </sheetPr>
  <dimension ref="A1:AE2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4" customWidth="1" min="4" max="4"/>
    <col width="9" customWidth="1" min="5" max="5"/>
    <col width="13" customWidth="1" min="6" max="6"/>
    <col width="11" customWidth="1" min="7" max="7"/>
    <col width="20" customWidth="1" min="8" max="8"/>
    <col width="12" customWidth="1" min="9" max="9"/>
    <col width="13" customWidth="1" min="10" max="10"/>
    <col width="13" customWidth="1" min="11" max="11"/>
    <col width="11" customWidth="1" min="12" max="12"/>
    <col width="11" customWidth="1" min="13" max="13"/>
    <col width="20" customWidth="1" min="14" max="14"/>
    <col width="13" customWidth="1" min="15" max="15"/>
    <col width="15" customWidth="1" min="16" max="16"/>
    <col width="38" customWidth="1" min="17" max="17"/>
    <col width="12" customWidth="1" min="18" max="18"/>
    <col width="9" customWidth="1" min="19" max="19"/>
    <col width="12" customWidth="1" min="20" max="20"/>
    <col hidden="1" width="13" customWidth="1" min="21" max="21"/>
    <col width="40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0" customHeight="1">
      <c r="A2" s="1" t="n"/>
      <c r="B2" s="2" t="inlineStr">
        <is>
          <t>My Debts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>
      <c r="A3" s="1" t="n"/>
      <c r="B3" s="3" t="inlineStr">
        <is>
          <t>One row per debt. Blue = you fill in (blank is fine for optional ones). Orange = calculated.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>
      <c r="A4" s="1" t="n"/>
      <c r="B4" s="46" t="inlineStr">
        <is>
          <t>Any currency works: just use the same one everywhere. APR as a percent (24.99%).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 ht="44" customHeight="1">
      <c r="A6" s="1" t="n"/>
      <c r="B6" s="6" t="inlineStr">
        <is>
          <t>DEBT NAME</t>
        </is>
      </c>
      <c r="C6" s="6" t="inlineStr">
        <is>
          <t>TYPE</t>
        </is>
      </c>
      <c r="D6" s="6" t="inlineStr">
        <is>
          <t>BALANCE NOW</t>
        </is>
      </c>
      <c r="E6" s="6" t="inlineStr">
        <is>
          <t>APR</t>
        </is>
      </c>
      <c r="F6" s="6" t="inlineStr">
        <is>
          <t>MINIMUM MONTHLY PAYMENT</t>
        </is>
      </c>
      <c r="G6" s="6" t="inlineStr">
        <is>
          <t>BEHIND ON PAYMENTS?</t>
        </is>
      </c>
      <c r="H6" s="6" t="inlineStr">
        <is>
          <t>EARLY PAYOFF RULE</t>
        </is>
      </c>
      <c r="I6" s="6" t="inlineStr">
        <is>
          <t>FEE TO PAY OFF EARLY</t>
        </is>
      </c>
      <c r="J6" s="6" t="inlineStr">
        <is>
          <t>FEE / LOCK ENDS</t>
        </is>
      </c>
      <c r="K6" s="6" t="inlineStr">
        <is>
          <t>0% / PROMO RATE ENDS</t>
        </is>
      </c>
      <c r="L6" s="6" t="inlineStr">
        <is>
          <t>APR AFTER PROMO</t>
        </is>
      </c>
      <c r="M6" s="6" t="inlineStr">
        <is>
          <t>DEFERRED INTEREST?</t>
        </is>
      </c>
      <c r="N6" s="6" t="inlineStr">
        <is>
          <t>NOTES</t>
        </is>
      </c>
      <c r="O6" s="37" t="inlineStr">
        <is>
          <t>INTEREST THIS MONTH</t>
        </is>
      </c>
      <c r="P6" s="37" t="inlineStr">
        <is>
          <t>INTEREST IF MINIMUMS ONLY</t>
        </is>
      </c>
      <c r="Q6" s="37" t="inlineStr">
        <is>
          <t>EARLY PAYOFF CHECK</t>
        </is>
      </c>
      <c r="R6" s="37" t="inlineStr">
        <is>
          <t>EXTRA CAN START</t>
        </is>
      </c>
      <c r="S6" s="37" t="inlineStr">
        <is>
          <t>ORDER #</t>
        </is>
      </c>
      <c r="T6" s="37" t="inlineStr">
        <is>
          <t>PAID OFF</t>
        </is>
      </c>
      <c r="U6" s="1" t="n"/>
      <c r="V6" s="47" t="inlineStr">
        <is>
          <t>WHY / NOTE</t>
        </is>
      </c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48" t="inlineStr">
        <is>
          <t>Store card (sample)</t>
        </is>
      </c>
      <c r="C7" s="48" t="inlineStr">
        <is>
          <t>Store card</t>
        </is>
      </c>
      <c r="D7" s="49" t="n">
        <v>1200</v>
      </c>
      <c r="E7" s="50" t="n">
        <v>0</v>
      </c>
      <c r="F7" s="49" t="n">
        <v>60</v>
      </c>
      <c r="G7" s="48" t="inlineStr">
        <is>
          <t>No</t>
        </is>
      </c>
      <c r="H7" s="48" t="inlineStr">
        <is>
          <t>Allowed, no fee</t>
        </is>
      </c>
      <c r="I7" s="49" t="n"/>
      <c r="J7" s="51" t="n"/>
      <c r="K7" s="51" t="n">
        <v>46508</v>
      </c>
      <c r="L7" s="50" t="n">
        <v>0.2999</v>
      </c>
      <c r="M7" s="48" t="inlineStr">
        <is>
          <t>Yes</t>
        </is>
      </c>
      <c r="N7" s="48" t="inlineStr">
        <is>
          <t>0% until May</t>
        </is>
      </c>
      <c r="O7" s="31">
        <f>IF(AND(ISNUMBER($D7),$D7&gt;0),$D7*N(+$E7)/12,"")</f>
        <v/>
      </c>
      <c r="P7" s="31">
        <f>IF(NOT(AND(ISNUMBER($D7),$D7&gt;0)),"",IF(N(+$F7)&lt;=0,"No minimum",IF(N(+$F7)&lt;=$D7*N(+$E7)/12,"Never at minimum",IF(N(+$E7)=0,0,N(+$F7)*NPER(N(+$E7)/12,-N(+$F7),$D7)-$D7))))</f>
        <v/>
      </c>
      <c r="Q7" s="52">
        <f>IF(NOT(AND(ISNUMBER($D7),$D7&gt;0)),"",IF(AND(N(+$F7)&gt;0,N(+$F7)&lt;=$D7*N(+$E7)/12),"Minimum doesn't cover interest: pay more here",IF(N(+$F7)&lt;=0,"Add the minimum payment",IF($H7="Not sure - ask lender","Ask your lender before paying extra",IF($H7="Locked until a date",IF(N(+$J7)=0,"Locked: add the unlock date","Locked until "&amp;TEXT($J7,"mmm yyyy")),IF($H7="Allowed with a fee",IF(N(+$I7)=0,"Add the fee amount (blank = no fee)",IF(NOT(ISNUMBER($P7)),"Fee is worth paying: minimums never clear this",IF(N(+$I7)&lt;$P7,"Worth it: saves about "&amp;TEXT($P7-$I7,"#,##0")&amp;" after the fee","Wait: the fee is more than the interest you'd save"&amp;IF(N(+$J7)&gt;0," (until "&amp;TEXT($J7,"mmm yyyy")&amp;")","")))),"OK to pay early"))))))</f>
        <v/>
      </c>
      <c r="R7" s="53">
        <f>IF($U7="","",IF($U7&lt;=Plan!$C$6,"Now",IF($U7&gt;=DATE(2199,12,1),"Not yet",TEXT($U7,"mmm yyyy"))))</f>
        <v/>
      </c>
      <c r="S7" s="54">
        <f>IF(AND(ISNUMBER($D7),$D7&gt;0),CHOOSE(Plan!$K$5,AA7,AB7,AC7,AD7),"")</f>
        <v/>
      </c>
      <c r="T7" s="28">
        <f>IF(AND(ISNUMBER($D7),$D7&gt;0),CHOOSE(Plan!$K$5,'Calc Smart'!C$10,'Calc Avalanche'!C$10,'Calc Snowball'!C$10,'Calc Cashflow'!C$10),"")</f>
        <v/>
      </c>
      <c r="U7" s="1">
        <f>IF(NOT(AND(ISNUMBER($D7),$D7&gt;0)),"",IF($H7="Not sure - ask lender",DATE(2199,12,1),IF($H7="Locked until a date",IF(N(+$J7)=0,DATE(2199,12,1),$J7),IF(AND($H7="Allowed with a fee",N(+$I7)&gt;0,ISNUMBER($P7),N(+$I7)&gt;=N(+$P7)),IF(N(+$J7)=0,DATE(2199,12,1),$J7),DATE(1900,1,1)))))</f>
        <v/>
      </c>
      <c r="V7" s="42">
        <f>IF(NOT(AND(ISNUMBER($D7),$D7&gt;0)),"",IF($AE7,"⚠ Cleared after the promo ends ("&amp;TEXT($K7,"mmm yyyy")&amp;"): back-interest likely, not counted here. Try Smart.",IF($G7="Yes","Behind on payments: deal with this first",IF(AND($M7="Yes",N(+$K7)&gt;Plan!$C$6),"Deferred interest: clear by "&amp;TEXT($K7,"mmm yyyy")&amp;" or back-interest is added",IF($U7&gt;Plan!$C$6,$Q7,CHOOSE(Plan!$K$5,IF(Plan!$K$7,"Frees up monthly money fastest","Highest APR among the rest"),"APR "&amp;TEXT(N(+$E7),"0.0%"),"Balance "&amp;TEXT($D7,"#,##0"),"Frees "&amp;TEXT(N(+$F7),"#,##0")&amp;"/month when cleared"))))))</f>
        <v/>
      </c>
      <c r="W7" s="1">
        <f>IF(AND(ISNUMBER($D7),$D7&gt;0),1000-N(+$E7)*100+ROW()/1000000,"")</f>
        <v/>
      </c>
      <c r="X7" s="1">
        <f>IF(AND(ISNUMBER($D7),$D7&gt;0),$D7+ROW()/1000000,"")</f>
        <v/>
      </c>
      <c r="Y7" s="1">
        <f>IF(AND(ISNUMBER($D7),$D7&gt;0),1000-IF(N(+$F7)&gt;0,N(+$F7)/$D7,0)*100+ROW()/1000000,"")</f>
        <v/>
      </c>
      <c r="Z7" s="1">
        <f>IF(AND(ISNUMBER($D7),$D7&gt;0),IF($G7="Yes",0,IF(AND($M7="Yes",N(+$K7)&gt;Plan!$C$6),1,2))*1000000+IF(IF($G7="Yes",0,IF(AND($M7="Yes",N(+$K7)&gt;Plan!$C$6),1,2))=0,1000-IF(N(+$F7)&gt;0,N(+$F7)/$D7,0)*100+ROW()/1000000,IF(IF($G7="Yes",0,IF(AND($M7="Yes",N(+$K7)&gt;Plan!$C$6),1,2))=1,N(+$K7)/100,IF(Plan!$K$7,1000-IF(N(+$F7)&gt;0,N(+$F7)/$D7,0)*100+ROW()/1000000,1000-N(+$E7)*100+ROW()/1000000))),"")</f>
        <v/>
      </c>
      <c r="AA7" s="1">
        <f>IF(Z7="","",COUNTIF(Z$7:Z$18,"&lt;"&amp;Z7)+1)</f>
        <v/>
      </c>
      <c r="AB7" s="1">
        <f>IF(W7="","",COUNTIF(W$7:W$18,"&lt;"&amp;W7)+1)</f>
        <v/>
      </c>
      <c r="AC7" s="1">
        <f>IF(X7="","",COUNTIF(X$7:X$18,"&lt;"&amp;X7)+1)</f>
        <v/>
      </c>
      <c r="AD7" s="1">
        <f>IF(Y7="","",COUNTIF(Y$7:Y$18,"&lt;"&amp;Y7)+1)</f>
        <v/>
      </c>
      <c r="AE7">
        <f>AND(AND(ISNUMBER($D7),$D7&gt;0),$M7="Yes",N(+$K7)&gt;0,ISNUMBER($T7),N(+$T7)&gt;=N(+$K7))</f>
        <v/>
      </c>
    </row>
    <row r="8">
      <c r="A8" s="1" t="n"/>
      <c r="B8" s="55" t="inlineStr">
        <is>
          <t>Credit card (sample)</t>
        </is>
      </c>
      <c r="C8" s="55" t="inlineStr">
        <is>
          <t>Credit card</t>
        </is>
      </c>
      <c r="D8" s="56" t="n">
        <v>4800</v>
      </c>
      <c r="E8" s="57" t="n">
        <v>0.2449</v>
      </c>
      <c r="F8" s="56" t="n">
        <v>120</v>
      </c>
      <c r="G8" s="55" t="inlineStr">
        <is>
          <t>No</t>
        </is>
      </c>
      <c r="H8" s="55" t="inlineStr">
        <is>
          <t>Allowed, no fee</t>
        </is>
      </c>
      <c r="I8" s="56" t="n"/>
      <c r="J8" s="58" t="n"/>
      <c r="K8" s="58" t="n"/>
      <c r="L8" s="57" t="n"/>
      <c r="M8" s="55" t="n"/>
      <c r="N8" s="55" t="n"/>
      <c r="O8" s="32">
        <f>IF(AND(ISNUMBER($D8),$D8&gt;0),$D8*N(+$E8)/12,"")</f>
        <v/>
      </c>
      <c r="P8" s="32">
        <f>IF(NOT(AND(ISNUMBER($D8),$D8&gt;0)),"",IF(N(+$F8)&lt;=0,"No minimum",IF(N(+$F8)&lt;=$D8*N(+$E8)/12,"Never at minimum",IF(N(+$E8)=0,0,N(+$F8)*NPER(N(+$E8)/12,-N(+$F8),$D8)-$D8))))</f>
        <v/>
      </c>
      <c r="Q8" s="59">
        <f>IF(NOT(AND(ISNUMBER($D8),$D8&gt;0)),"",IF(AND(N(+$F8)&gt;0,N(+$F8)&lt;=$D8*N(+$E8)/12),"Minimum doesn't cover interest: pay more here",IF(N(+$F8)&lt;=0,"Add the minimum payment",IF($H8="Not sure - ask lender","Ask your lender before paying extra",IF($H8="Locked until a date",IF(N(+$J8)=0,"Locked: add the unlock date","Locked until "&amp;TEXT($J8,"mmm yyyy")),IF($H8="Allowed with a fee",IF(N(+$I8)=0,"Add the fee amount (blank = no fee)",IF(NOT(ISNUMBER($P8)),"Fee is worth paying: minimums never clear this",IF(N(+$I8)&lt;$P8,"Worth it: saves about "&amp;TEXT($P8-$I8,"#,##0")&amp;" after the fee","Wait: the fee is more than the interest you'd save"&amp;IF(N(+$J8)&gt;0," (until "&amp;TEXT($J8,"mmm yyyy")&amp;")","")))),"OK to pay early"))))))</f>
        <v/>
      </c>
      <c r="R8" s="60">
        <f>IF($U8="","",IF($U8&lt;=Plan!$C$6,"Now",IF($U8&gt;=DATE(2199,12,1),"Not yet",TEXT($U8,"mmm yyyy"))))</f>
        <v/>
      </c>
      <c r="S8" s="61">
        <f>IF(AND(ISNUMBER($D8),$D8&gt;0),CHOOSE(Plan!$K$5,AA8,AB8,AC8,AD8),"")</f>
        <v/>
      </c>
      <c r="T8" s="33">
        <f>IF(AND(ISNUMBER($D8),$D8&gt;0),CHOOSE(Plan!$K$5,'Calc Smart'!D$10,'Calc Avalanche'!D$10,'Calc Snowball'!D$10,'Calc Cashflow'!D$10),"")</f>
        <v/>
      </c>
      <c r="U8" s="1">
        <f>IF(NOT(AND(ISNUMBER($D8),$D8&gt;0)),"",IF($H8="Not sure - ask lender",DATE(2199,12,1),IF($H8="Locked until a date",IF(N(+$J8)=0,DATE(2199,12,1),$J8),IF(AND($H8="Allowed with a fee",N(+$I8)&gt;0,ISNUMBER($P8),N(+$I8)&gt;=N(+$P8)),IF(N(+$J8)=0,DATE(2199,12,1),$J8),DATE(1900,1,1)))))</f>
        <v/>
      </c>
      <c r="V8" s="45">
        <f>IF(NOT(AND(ISNUMBER($D8),$D8&gt;0)),"",IF($AE8,"⚠ Cleared after the promo ends ("&amp;TEXT($K8,"mmm yyyy")&amp;"): back-interest likely, not counted here. Try Smart.",IF($G8="Yes","Behind on payments: deal with this first",IF(AND($M8="Yes",N(+$K8)&gt;Plan!$C$6),"Deferred interest: clear by "&amp;TEXT($K8,"mmm yyyy")&amp;" or back-interest is added",IF($U8&gt;Plan!$C$6,$Q8,CHOOSE(Plan!$K$5,IF(Plan!$K$7,"Frees up monthly money fastest","Highest APR among the rest"),"APR "&amp;TEXT(N(+$E8),"0.0%"),"Balance "&amp;TEXT($D8,"#,##0"),"Frees "&amp;TEXT(N(+$F8),"#,##0")&amp;"/month when cleared"))))))</f>
        <v/>
      </c>
      <c r="W8" s="1">
        <f>IF(AND(ISNUMBER($D8),$D8&gt;0),1000-N(+$E8)*100+ROW()/1000000,"")</f>
        <v/>
      </c>
      <c r="X8" s="1">
        <f>IF(AND(ISNUMBER($D8),$D8&gt;0),$D8+ROW()/1000000,"")</f>
        <v/>
      </c>
      <c r="Y8" s="1">
        <f>IF(AND(ISNUMBER($D8),$D8&gt;0),1000-IF(N(+$F8)&gt;0,N(+$F8)/$D8,0)*100+ROW()/1000000,"")</f>
        <v/>
      </c>
      <c r="Z8" s="1">
        <f>IF(AND(ISNUMBER($D8),$D8&gt;0),IF($G8="Yes",0,IF(AND($M8="Yes",N(+$K8)&gt;Plan!$C$6),1,2))*1000000+IF(IF($G8="Yes",0,IF(AND($M8="Yes",N(+$K8)&gt;Plan!$C$6),1,2))=0,1000-IF(N(+$F8)&gt;0,N(+$F8)/$D8,0)*100+ROW()/1000000,IF(IF($G8="Yes",0,IF(AND($M8="Yes",N(+$K8)&gt;Plan!$C$6),1,2))=1,N(+$K8)/100,IF(Plan!$K$7,1000-IF(N(+$F8)&gt;0,N(+$F8)/$D8,0)*100+ROW()/1000000,1000-N(+$E8)*100+ROW()/1000000))),"")</f>
        <v/>
      </c>
      <c r="AA8" s="1">
        <f>IF(Z8="","",COUNTIF(Z$7:Z$18,"&lt;"&amp;Z8)+1)</f>
        <v/>
      </c>
      <c r="AB8" s="1">
        <f>IF(W8="","",COUNTIF(W$7:W$18,"&lt;"&amp;W8)+1)</f>
        <v/>
      </c>
      <c r="AC8" s="1">
        <f>IF(X8="","",COUNTIF(X$7:X$18,"&lt;"&amp;X8)+1)</f>
        <v/>
      </c>
      <c r="AD8" s="1">
        <f>IF(Y8="","",COUNTIF(Y$7:Y$18,"&lt;"&amp;Y8)+1)</f>
        <v/>
      </c>
      <c r="AE8">
        <f>AND(AND(ISNUMBER($D8),$D8&gt;0),$M8="Yes",N(+$K8)&gt;0,ISNUMBER($T8),N(+$T8)&gt;=N(+$K8))</f>
        <v/>
      </c>
    </row>
    <row r="9">
      <c r="A9" s="1" t="n"/>
      <c r="B9" s="48" t="inlineStr">
        <is>
          <t>Car loan (sample)</t>
        </is>
      </c>
      <c r="C9" s="48" t="inlineStr">
        <is>
          <t>Car loan</t>
        </is>
      </c>
      <c r="D9" s="49" t="n">
        <v>9500</v>
      </c>
      <c r="E9" s="50" t="n">
        <v>0.089</v>
      </c>
      <c r="F9" s="49" t="n">
        <v>310</v>
      </c>
      <c r="G9" s="48" t="inlineStr">
        <is>
          <t>No</t>
        </is>
      </c>
      <c r="H9" s="48" t="inlineStr">
        <is>
          <t>Allowed with a fee</t>
        </is>
      </c>
      <c r="I9" s="49" t="n">
        <v>400</v>
      </c>
      <c r="J9" s="51" t="n">
        <v>46600</v>
      </c>
      <c r="K9" s="51" t="n"/>
      <c r="L9" s="50" t="n"/>
      <c r="M9" s="48" t="n"/>
      <c r="N9" s="48" t="inlineStr">
        <is>
          <t>fee until Aug 2027</t>
        </is>
      </c>
      <c r="O9" s="31">
        <f>IF(AND(ISNUMBER($D9),$D9&gt;0),$D9*N(+$E9)/12,"")</f>
        <v/>
      </c>
      <c r="P9" s="31">
        <f>IF(NOT(AND(ISNUMBER($D9),$D9&gt;0)),"",IF(N(+$F9)&lt;=0,"No minimum",IF(N(+$F9)&lt;=$D9*N(+$E9)/12,"Never at minimum",IF(N(+$E9)=0,0,N(+$F9)*NPER(N(+$E9)/12,-N(+$F9),$D9)-$D9))))</f>
        <v/>
      </c>
      <c r="Q9" s="52">
        <f>IF(NOT(AND(ISNUMBER($D9),$D9&gt;0)),"",IF(AND(N(+$F9)&gt;0,N(+$F9)&lt;=$D9*N(+$E9)/12),"Minimum doesn't cover interest: pay more here",IF(N(+$F9)&lt;=0,"Add the minimum payment",IF($H9="Not sure - ask lender","Ask your lender before paying extra",IF($H9="Locked until a date",IF(N(+$J9)=0,"Locked: add the unlock date","Locked until "&amp;TEXT($J9,"mmm yyyy")),IF($H9="Allowed with a fee",IF(N(+$I9)=0,"Add the fee amount (blank = no fee)",IF(NOT(ISNUMBER($P9)),"Fee is worth paying: minimums never clear this",IF(N(+$I9)&lt;$P9,"Worth it: saves about "&amp;TEXT($P9-$I9,"#,##0")&amp;" after the fee","Wait: the fee is more than the interest you'd save"&amp;IF(N(+$J9)&gt;0," (until "&amp;TEXT($J9,"mmm yyyy")&amp;")","")))),"OK to pay early"))))))</f>
        <v/>
      </c>
      <c r="R9" s="53">
        <f>IF($U9="","",IF($U9&lt;=Plan!$C$6,"Now",IF($U9&gt;=DATE(2199,12,1),"Not yet",TEXT($U9,"mmm yyyy"))))</f>
        <v/>
      </c>
      <c r="S9" s="54">
        <f>IF(AND(ISNUMBER($D9),$D9&gt;0),CHOOSE(Plan!$K$5,AA9,AB9,AC9,AD9),"")</f>
        <v/>
      </c>
      <c r="T9" s="28">
        <f>IF(AND(ISNUMBER($D9),$D9&gt;0),CHOOSE(Plan!$K$5,'Calc Smart'!E$10,'Calc Avalanche'!E$10,'Calc Snowball'!E$10,'Calc Cashflow'!E$10),"")</f>
        <v/>
      </c>
      <c r="U9" s="1">
        <f>IF(NOT(AND(ISNUMBER($D9),$D9&gt;0)),"",IF($H9="Not sure - ask lender",DATE(2199,12,1),IF($H9="Locked until a date",IF(N(+$J9)=0,DATE(2199,12,1),$J9),IF(AND($H9="Allowed with a fee",N(+$I9)&gt;0,ISNUMBER($P9),N(+$I9)&gt;=N(+$P9)),IF(N(+$J9)=0,DATE(2199,12,1),$J9),DATE(1900,1,1)))))</f>
        <v/>
      </c>
      <c r="V9" s="42">
        <f>IF(NOT(AND(ISNUMBER($D9),$D9&gt;0)),"",IF($AE9,"⚠ Cleared after the promo ends ("&amp;TEXT($K9,"mmm yyyy")&amp;"): back-interest likely, not counted here. Try Smart.",IF($G9="Yes","Behind on payments: deal with this first",IF(AND($M9="Yes",N(+$K9)&gt;Plan!$C$6),"Deferred interest: clear by "&amp;TEXT($K9,"mmm yyyy")&amp;" or back-interest is added",IF($U9&gt;Plan!$C$6,$Q9,CHOOSE(Plan!$K$5,IF(Plan!$K$7,"Frees up monthly money fastest","Highest APR among the rest"),"APR "&amp;TEXT(N(+$E9),"0.0%"),"Balance "&amp;TEXT($D9,"#,##0"),"Frees "&amp;TEXT(N(+$F9),"#,##0")&amp;"/month when cleared"))))))</f>
        <v/>
      </c>
      <c r="W9" s="1">
        <f>IF(AND(ISNUMBER($D9),$D9&gt;0),1000-N(+$E9)*100+ROW()/1000000,"")</f>
        <v/>
      </c>
      <c r="X9" s="1">
        <f>IF(AND(ISNUMBER($D9),$D9&gt;0),$D9+ROW()/1000000,"")</f>
        <v/>
      </c>
      <c r="Y9" s="1">
        <f>IF(AND(ISNUMBER($D9),$D9&gt;0),1000-IF(N(+$F9)&gt;0,N(+$F9)/$D9,0)*100+ROW()/1000000,"")</f>
        <v/>
      </c>
      <c r="Z9" s="1">
        <f>IF(AND(ISNUMBER($D9),$D9&gt;0),IF($G9="Yes",0,IF(AND($M9="Yes",N(+$K9)&gt;Plan!$C$6),1,2))*1000000+IF(IF($G9="Yes",0,IF(AND($M9="Yes",N(+$K9)&gt;Plan!$C$6),1,2))=0,1000-IF(N(+$F9)&gt;0,N(+$F9)/$D9,0)*100+ROW()/1000000,IF(IF($G9="Yes",0,IF(AND($M9="Yes",N(+$K9)&gt;Plan!$C$6),1,2))=1,N(+$K9)/100,IF(Plan!$K$7,1000-IF(N(+$F9)&gt;0,N(+$F9)/$D9,0)*100+ROW()/1000000,1000-N(+$E9)*100+ROW()/1000000))),"")</f>
        <v/>
      </c>
      <c r="AA9" s="1">
        <f>IF(Z9="","",COUNTIF(Z$7:Z$18,"&lt;"&amp;Z9)+1)</f>
        <v/>
      </c>
      <c r="AB9" s="1">
        <f>IF(W9="","",COUNTIF(W$7:W$18,"&lt;"&amp;W9)+1)</f>
        <v/>
      </c>
      <c r="AC9" s="1">
        <f>IF(X9="","",COUNTIF(X$7:X$18,"&lt;"&amp;X9)+1)</f>
        <v/>
      </c>
      <c r="AD9" s="1">
        <f>IF(Y9="","",COUNTIF(Y$7:Y$18,"&lt;"&amp;Y9)+1)</f>
        <v/>
      </c>
      <c r="AE9">
        <f>AND(AND(ISNUMBER($D9),$D9&gt;0),$M9="Yes",N(+$K9)&gt;0,ISNUMBER($T9),N(+$T9)&gt;=N(+$K9))</f>
        <v/>
      </c>
    </row>
    <row r="10">
      <c r="A10" s="1" t="n"/>
      <c r="B10" s="55" t="inlineStr">
        <is>
          <t>Personal loan (sample)</t>
        </is>
      </c>
      <c r="C10" s="55" t="inlineStr">
        <is>
          <t>Personal loan</t>
        </is>
      </c>
      <c r="D10" s="56" t="n">
        <v>3000</v>
      </c>
      <c r="E10" s="57" t="n">
        <v>0.159</v>
      </c>
      <c r="F10" s="56" t="n">
        <v>140</v>
      </c>
      <c r="G10" s="55" t="inlineStr">
        <is>
          <t>No</t>
        </is>
      </c>
      <c r="H10" s="55" t="inlineStr">
        <is>
          <t>Not sure - ask lender</t>
        </is>
      </c>
      <c r="I10" s="56" t="n"/>
      <c r="J10" s="58" t="n"/>
      <c r="K10" s="58" t="n"/>
      <c r="L10" s="57" t="n"/>
      <c r="M10" s="55" t="n"/>
      <c r="N10" s="55" t="inlineStr">
        <is>
          <t>call lender</t>
        </is>
      </c>
      <c r="O10" s="32">
        <f>IF(AND(ISNUMBER($D10),$D10&gt;0),$D10*N(+$E10)/12,"")</f>
        <v/>
      </c>
      <c r="P10" s="32">
        <f>IF(NOT(AND(ISNUMBER($D10),$D10&gt;0)),"",IF(N(+$F10)&lt;=0,"No minimum",IF(N(+$F10)&lt;=$D10*N(+$E10)/12,"Never at minimum",IF(N(+$E10)=0,0,N(+$F10)*NPER(N(+$E10)/12,-N(+$F10),$D10)-$D10))))</f>
        <v/>
      </c>
      <c r="Q10" s="59">
        <f>IF(NOT(AND(ISNUMBER($D10),$D10&gt;0)),"",IF(AND(N(+$F10)&gt;0,N(+$F10)&lt;=$D10*N(+$E10)/12),"Minimum doesn't cover interest: pay more here",IF(N(+$F10)&lt;=0,"Add the minimum payment",IF($H10="Not sure - ask lender","Ask your lender before paying extra",IF($H10="Locked until a date",IF(N(+$J10)=0,"Locked: add the unlock date","Locked until "&amp;TEXT($J10,"mmm yyyy")),IF($H10="Allowed with a fee",IF(N(+$I10)=0,"Add the fee amount (blank = no fee)",IF(NOT(ISNUMBER($P10)),"Fee is worth paying: minimums never clear this",IF(N(+$I10)&lt;$P10,"Worth it: saves about "&amp;TEXT($P10-$I10,"#,##0")&amp;" after the fee","Wait: the fee is more than the interest you'd save"&amp;IF(N(+$J10)&gt;0," (until "&amp;TEXT($J10,"mmm yyyy")&amp;")","")))),"OK to pay early"))))))</f>
        <v/>
      </c>
      <c r="R10" s="60">
        <f>IF($U10="","",IF($U10&lt;=Plan!$C$6,"Now",IF($U10&gt;=DATE(2199,12,1),"Not yet",TEXT($U10,"mmm yyyy"))))</f>
        <v/>
      </c>
      <c r="S10" s="61">
        <f>IF(AND(ISNUMBER($D10),$D10&gt;0),CHOOSE(Plan!$K$5,AA10,AB10,AC10,AD10),"")</f>
        <v/>
      </c>
      <c r="T10" s="33">
        <f>IF(AND(ISNUMBER($D10),$D10&gt;0),CHOOSE(Plan!$K$5,'Calc Smart'!F$10,'Calc Avalanche'!F$10,'Calc Snowball'!F$10,'Calc Cashflow'!F$10),"")</f>
        <v/>
      </c>
      <c r="U10" s="1">
        <f>IF(NOT(AND(ISNUMBER($D10),$D10&gt;0)),"",IF($H10="Not sure - ask lender",DATE(2199,12,1),IF($H10="Locked until a date",IF(N(+$J10)=0,DATE(2199,12,1),$J10),IF(AND($H10="Allowed with a fee",N(+$I10)&gt;0,ISNUMBER($P10),N(+$I10)&gt;=N(+$P10)),IF(N(+$J10)=0,DATE(2199,12,1),$J10),DATE(1900,1,1)))))</f>
        <v/>
      </c>
      <c r="V10" s="45">
        <f>IF(NOT(AND(ISNUMBER($D10),$D10&gt;0)),"",IF($AE10,"⚠ Cleared after the promo ends ("&amp;TEXT($K10,"mmm yyyy")&amp;"): back-interest likely, not counted here. Try Smart.",IF($G10="Yes","Behind on payments: deal with this first",IF(AND($M10="Yes",N(+$K10)&gt;Plan!$C$6),"Deferred interest: clear by "&amp;TEXT($K10,"mmm yyyy")&amp;" or back-interest is added",IF($U10&gt;Plan!$C$6,$Q10,CHOOSE(Plan!$K$5,IF(Plan!$K$7,"Frees up monthly money fastest","Highest APR among the rest"),"APR "&amp;TEXT(N(+$E10),"0.0%"),"Balance "&amp;TEXT($D10,"#,##0"),"Frees "&amp;TEXT(N(+$F10),"#,##0")&amp;"/month when cleared"))))))</f>
        <v/>
      </c>
      <c r="W10" s="1">
        <f>IF(AND(ISNUMBER($D10),$D10&gt;0),1000-N(+$E10)*100+ROW()/1000000,"")</f>
        <v/>
      </c>
      <c r="X10" s="1">
        <f>IF(AND(ISNUMBER($D10),$D10&gt;0),$D10+ROW()/1000000,"")</f>
        <v/>
      </c>
      <c r="Y10" s="1">
        <f>IF(AND(ISNUMBER($D10),$D10&gt;0),1000-IF(N(+$F10)&gt;0,N(+$F10)/$D10,0)*100+ROW()/1000000,"")</f>
        <v/>
      </c>
      <c r="Z10" s="1">
        <f>IF(AND(ISNUMBER($D10),$D10&gt;0),IF($G10="Yes",0,IF(AND($M10="Yes",N(+$K10)&gt;Plan!$C$6),1,2))*1000000+IF(IF($G10="Yes",0,IF(AND($M10="Yes",N(+$K10)&gt;Plan!$C$6),1,2))=0,1000-IF(N(+$F10)&gt;0,N(+$F10)/$D10,0)*100+ROW()/1000000,IF(IF($G10="Yes",0,IF(AND($M10="Yes",N(+$K10)&gt;Plan!$C$6),1,2))=1,N(+$K10)/100,IF(Plan!$K$7,1000-IF(N(+$F10)&gt;0,N(+$F10)/$D10,0)*100+ROW()/1000000,1000-N(+$E10)*100+ROW()/1000000))),"")</f>
        <v/>
      </c>
      <c r="AA10" s="1">
        <f>IF(Z10="","",COUNTIF(Z$7:Z$18,"&lt;"&amp;Z10)+1)</f>
        <v/>
      </c>
      <c r="AB10" s="1">
        <f>IF(W10="","",COUNTIF(W$7:W$18,"&lt;"&amp;W10)+1)</f>
        <v/>
      </c>
      <c r="AC10" s="1">
        <f>IF(X10="","",COUNTIF(X$7:X$18,"&lt;"&amp;X10)+1)</f>
        <v/>
      </c>
      <c r="AD10" s="1">
        <f>IF(Y10="","",COUNTIF(Y$7:Y$18,"&lt;"&amp;Y10)+1)</f>
        <v/>
      </c>
      <c r="AE10">
        <f>AND(AND(ISNUMBER($D10),$D10&gt;0),$M10="Yes",N(+$K10)&gt;0,ISNUMBER($T10),N(+$T10)&gt;=N(+$K10))</f>
        <v/>
      </c>
    </row>
    <row r="11">
      <c r="A11" s="1" t="n"/>
      <c r="B11" s="48" t="inlineStr">
        <is>
          <t>Medical bill (sample)</t>
        </is>
      </c>
      <c r="C11" s="48" t="inlineStr">
        <is>
          <t>Medical bill</t>
        </is>
      </c>
      <c r="D11" s="49" t="n">
        <v>650</v>
      </c>
      <c r="E11" s="50" t="n">
        <v>0</v>
      </c>
      <c r="F11" s="49" t="n">
        <v>50</v>
      </c>
      <c r="G11" s="48" t="inlineStr">
        <is>
          <t>Yes</t>
        </is>
      </c>
      <c r="H11" s="48" t="n"/>
      <c r="I11" s="49" t="n"/>
      <c r="J11" s="51" t="n"/>
      <c r="K11" s="51" t="n"/>
      <c r="L11" s="50" t="n"/>
      <c r="M11" s="48" t="n"/>
      <c r="N11" s="48" t="inlineStr">
        <is>
          <t>late notice</t>
        </is>
      </c>
      <c r="O11" s="31">
        <f>IF(AND(ISNUMBER($D11),$D11&gt;0),$D11*N(+$E11)/12,"")</f>
        <v/>
      </c>
      <c r="P11" s="31">
        <f>IF(NOT(AND(ISNUMBER($D11),$D11&gt;0)),"",IF(N(+$F11)&lt;=0,"No minimum",IF(N(+$F11)&lt;=$D11*N(+$E11)/12,"Never at minimum",IF(N(+$E11)=0,0,N(+$F11)*NPER(N(+$E11)/12,-N(+$F11),$D11)-$D11))))</f>
        <v/>
      </c>
      <c r="Q11" s="52">
        <f>IF(NOT(AND(ISNUMBER($D11),$D11&gt;0)),"",IF(AND(N(+$F11)&gt;0,N(+$F11)&lt;=$D11*N(+$E11)/12),"Minimum doesn't cover interest: pay more here",IF(N(+$F11)&lt;=0,"Add the minimum payment",IF($H11="Not sure - ask lender","Ask your lender before paying extra",IF($H11="Locked until a date",IF(N(+$J11)=0,"Locked: add the unlock date","Locked until "&amp;TEXT($J11,"mmm yyyy")),IF($H11="Allowed with a fee",IF(N(+$I11)=0,"Add the fee amount (blank = no fee)",IF(NOT(ISNUMBER($P11)),"Fee is worth paying: minimums never clear this",IF(N(+$I11)&lt;$P11,"Worth it: saves about "&amp;TEXT($P11-$I11,"#,##0")&amp;" after the fee","Wait: the fee is more than the interest you'd save"&amp;IF(N(+$J11)&gt;0," (until "&amp;TEXT($J11,"mmm yyyy")&amp;")","")))),"OK to pay early"))))))</f>
        <v/>
      </c>
      <c r="R11" s="53">
        <f>IF($U11="","",IF($U11&lt;=Plan!$C$6,"Now",IF($U11&gt;=DATE(2199,12,1),"Not yet",TEXT($U11,"mmm yyyy"))))</f>
        <v/>
      </c>
      <c r="S11" s="54">
        <f>IF(AND(ISNUMBER($D11),$D11&gt;0),CHOOSE(Plan!$K$5,AA11,AB11,AC11,AD11),"")</f>
        <v/>
      </c>
      <c r="T11" s="28">
        <f>IF(AND(ISNUMBER($D11),$D11&gt;0),CHOOSE(Plan!$K$5,'Calc Smart'!G$10,'Calc Avalanche'!G$10,'Calc Snowball'!G$10,'Calc Cashflow'!G$10),"")</f>
        <v/>
      </c>
      <c r="U11" s="1">
        <f>IF(NOT(AND(ISNUMBER($D11),$D11&gt;0)),"",IF($H11="Not sure - ask lender",DATE(2199,12,1),IF($H11="Locked until a date",IF(N(+$J11)=0,DATE(2199,12,1),$J11),IF(AND($H11="Allowed with a fee",N(+$I11)&gt;0,ISNUMBER($P11),N(+$I11)&gt;=N(+$P11)),IF(N(+$J11)=0,DATE(2199,12,1),$J11),DATE(1900,1,1)))))</f>
        <v/>
      </c>
      <c r="V11" s="42">
        <f>IF(NOT(AND(ISNUMBER($D11),$D11&gt;0)),"",IF($AE11,"⚠ Cleared after the promo ends ("&amp;TEXT($K11,"mmm yyyy")&amp;"): back-interest likely, not counted here. Try Smart.",IF($G11="Yes","Behind on payments: deal with this first",IF(AND($M11="Yes",N(+$K11)&gt;Plan!$C$6),"Deferred interest: clear by "&amp;TEXT($K11,"mmm yyyy")&amp;" or back-interest is added",IF($U11&gt;Plan!$C$6,$Q11,CHOOSE(Plan!$K$5,IF(Plan!$K$7,"Frees up monthly money fastest","Highest APR among the rest"),"APR "&amp;TEXT(N(+$E11),"0.0%"),"Balance "&amp;TEXT($D11,"#,##0"),"Frees "&amp;TEXT(N(+$F11),"#,##0")&amp;"/month when cleared"))))))</f>
        <v/>
      </c>
      <c r="W11" s="1">
        <f>IF(AND(ISNUMBER($D11),$D11&gt;0),1000-N(+$E11)*100+ROW()/1000000,"")</f>
        <v/>
      </c>
      <c r="X11" s="1">
        <f>IF(AND(ISNUMBER($D11),$D11&gt;0),$D11+ROW()/1000000,"")</f>
        <v/>
      </c>
      <c r="Y11" s="1">
        <f>IF(AND(ISNUMBER($D11),$D11&gt;0),1000-IF(N(+$F11)&gt;0,N(+$F11)/$D11,0)*100+ROW()/1000000,"")</f>
        <v/>
      </c>
      <c r="Z11" s="1">
        <f>IF(AND(ISNUMBER($D11),$D11&gt;0),IF($G11="Yes",0,IF(AND($M11="Yes",N(+$K11)&gt;Plan!$C$6),1,2))*1000000+IF(IF($G11="Yes",0,IF(AND($M11="Yes",N(+$K11)&gt;Plan!$C$6),1,2))=0,1000-IF(N(+$F11)&gt;0,N(+$F11)/$D11,0)*100+ROW()/1000000,IF(IF($G11="Yes",0,IF(AND($M11="Yes",N(+$K11)&gt;Plan!$C$6),1,2))=1,N(+$K11)/100,IF(Plan!$K$7,1000-IF(N(+$F11)&gt;0,N(+$F11)/$D11,0)*100+ROW()/1000000,1000-N(+$E11)*100+ROW()/1000000))),"")</f>
        <v/>
      </c>
      <c r="AA11" s="1">
        <f>IF(Z11="","",COUNTIF(Z$7:Z$18,"&lt;"&amp;Z11)+1)</f>
        <v/>
      </c>
      <c r="AB11" s="1">
        <f>IF(W11="","",COUNTIF(W$7:W$18,"&lt;"&amp;W11)+1)</f>
        <v/>
      </c>
      <c r="AC11" s="1">
        <f>IF(X11="","",COUNTIF(X$7:X$18,"&lt;"&amp;X11)+1)</f>
        <v/>
      </c>
      <c r="AD11" s="1">
        <f>IF(Y11="","",COUNTIF(Y$7:Y$18,"&lt;"&amp;Y11)+1)</f>
        <v/>
      </c>
      <c r="AE11">
        <f>AND(AND(ISNUMBER($D11),$D11&gt;0),$M11="Yes",N(+$K11)&gt;0,ISNUMBER($T11),N(+$T11)&gt;=N(+$K11))</f>
        <v/>
      </c>
    </row>
    <row r="12">
      <c r="A12" s="1" t="n"/>
      <c r="B12" s="55" t="n"/>
      <c r="C12" s="55" t="n"/>
      <c r="D12" s="56" t="n"/>
      <c r="E12" s="57" t="n"/>
      <c r="F12" s="56" t="n"/>
      <c r="G12" s="55" t="n"/>
      <c r="H12" s="55" t="n"/>
      <c r="I12" s="56" t="n"/>
      <c r="J12" s="58" t="n"/>
      <c r="K12" s="58" t="n"/>
      <c r="L12" s="57" t="n"/>
      <c r="M12" s="55" t="n"/>
      <c r="N12" s="55" t="n"/>
      <c r="O12" s="32">
        <f>IF(AND(ISNUMBER($D12),$D12&gt;0),$D12*N(+$E12)/12,"")</f>
        <v/>
      </c>
      <c r="P12" s="32">
        <f>IF(NOT(AND(ISNUMBER($D12),$D12&gt;0)),"",IF(N(+$F12)&lt;=0,"No minimum",IF(N(+$F12)&lt;=$D12*N(+$E12)/12,"Never at minimum",IF(N(+$E12)=0,0,N(+$F12)*NPER(N(+$E12)/12,-N(+$F12),$D12)-$D12))))</f>
        <v/>
      </c>
      <c r="Q12" s="59">
        <f>IF(NOT(AND(ISNUMBER($D12),$D12&gt;0)),"",IF(AND(N(+$F12)&gt;0,N(+$F12)&lt;=$D12*N(+$E12)/12),"Minimum doesn't cover interest: pay more here",IF(N(+$F12)&lt;=0,"Add the minimum payment",IF($H12="Not sure - ask lender","Ask your lender before paying extra",IF($H12="Locked until a date",IF(N(+$J12)=0,"Locked: add the unlock date","Locked until "&amp;TEXT($J12,"mmm yyyy")),IF($H12="Allowed with a fee",IF(N(+$I12)=0,"Add the fee amount (blank = no fee)",IF(NOT(ISNUMBER($P12)),"Fee is worth paying: minimums never clear this",IF(N(+$I12)&lt;$P12,"Worth it: saves about "&amp;TEXT($P12-$I12,"#,##0")&amp;" after the fee","Wait: the fee is more than the interest you'd save"&amp;IF(N(+$J12)&gt;0," (until "&amp;TEXT($J12,"mmm yyyy")&amp;")","")))),"OK to pay early"))))))</f>
        <v/>
      </c>
      <c r="R12" s="60">
        <f>IF($U12="","",IF($U12&lt;=Plan!$C$6,"Now",IF($U12&gt;=DATE(2199,12,1),"Not yet",TEXT($U12,"mmm yyyy"))))</f>
        <v/>
      </c>
      <c r="S12" s="61">
        <f>IF(AND(ISNUMBER($D12),$D12&gt;0),CHOOSE(Plan!$K$5,AA12,AB12,AC12,AD12),"")</f>
        <v/>
      </c>
      <c r="T12" s="33">
        <f>IF(AND(ISNUMBER($D12),$D12&gt;0),CHOOSE(Plan!$K$5,'Calc Smart'!H$10,'Calc Avalanche'!H$10,'Calc Snowball'!H$10,'Calc Cashflow'!H$10),"")</f>
        <v/>
      </c>
      <c r="U12" s="1">
        <f>IF(NOT(AND(ISNUMBER($D12),$D12&gt;0)),"",IF($H12="Not sure - ask lender",DATE(2199,12,1),IF($H12="Locked until a date",IF(N(+$J12)=0,DATE(2199,12,1),$J12),IF(AND($H12="Allowed with a fee",N(+$I12)&gt;0,ISNUMBER($P12),N(+$I12)&gt;=N(+$P12)),IF(N(+$J12)=0,DATE(2199,12,1),$J12),DATE(1900,1,1)))))</f>
        <v/>
      </c>
      <c r="V12" s="45">
        <f>IF(NOT(AND(ISNUMBER($D12),$D12&gt;0)),"",IF($AE12,"⚠ Cleared after the promo ends ("&amp;TEXT($K12,"mmm yyyy")&amp;"): back-interest likely, not counted here. Try Smart.",IF($G12="Yes","Behind on payments: deal with this first",IF(AND($M12="Yes",N(+$K12)&gt;Plan!$C$6),"Deferred interest: clear by "&amp;TEXT($K12,"mmm yyyy")&amp;" or back-interest is added",IF($U12&gt;Plan!$C$6,$Q12,CHOOSE(Plan!$K$5,IF(Plan!$K$7,"Frees up monthly money fastest","Highest APR among the rest"),"APR "&amp;TEXT(N(+$E12),"0.0%"),"Balance "&amp;TEXT($D12,"#,##0"),"Frees "&amp;TEXT(N(+$F12),"#,##0")&amp;"/month when cleared"))))))</f>
        <v/>
      </c>
      <c r="W12" s="1">
        <f>IF(AND(ISNUMBER($D12),$D12&gt;0),1000-N(+$E12)*100+ROW()/1000000,"")</f>
        <v/>
      </c>
      <c r="X12" s="1">
        <f>IF(AND(ISNUMBER($D12),$D12&gt;0),$D12+ROW()/1000000,"")</f>
        <v/>
      </c>
      <c r="Y12" s="1">
        <f>IF(AND(ISNUMBER($D12),$D12&gt;0),1000-IF(N(+$F12)&gt;0,N(+$F12)/$D12,0)*100+ROW()/1000000,"")</f>
        <v/>
      </c>
      <c r="Z12" s="1">
        <f>IF(AND(ISNUMBER($D12),$D12&gt;0),IF($G12="Yes",0,IF(AND($M12="Yes",N(+$K12)&gt;Plan!$C$6),1,2))*1000000+IF(IF($G12="Yes",0,IF(AND($M12="Yes",N(+$K12)&gt;Plan!$C$6),1,2))=0,1000-IF(N(+$F12)&gt;0,N(+$F12)/$D12,0)*100+ROW()/1000000,IF(IF($G12="Yes",0,IF(AND($M12="Yes",N(+$K12)&gt;Plan!$C$6),1,2))=1,N(+$K12)/100,IF(Plan!$K$7,1000-IF(N(+$F12)&gt;0,N(+$F12)/$D12,0)*100+ROW()/1000000,1000-N(+$E12)*100+ROW()/1000000))),"")</f>
        <v/>
      </c>
      <c r="AA12" s="1">
        <f>IF(Z12="","",COUNTIF(Z$7:Z$18,"&lt;"&amp;Z12)+1)</f>
        <v/>
      </c>
      <c r="AB12" s="1">
        <f>IF(W12="","",COUNTIF(W$7:W$18,"&lt;"&amp;W12)+1)</f>
        <v/>
      </c>
      <c r="AC12" s="1">
        <f>IF(X12="","",COUNTIF(X$7:X$18,"&lt;"&amp;X12)+1)</f>
        <v/>
      </c>
      <c r="AD12" s="1">
        <f>IF(Y12="","",COUNTIF(Y$7:Y$18,"&lt;"&amp;Y12)+1)</f>
        <v/>
      </c>
      <c r="AE12">
        <f>AND(AND(ISNUMBER($D12),$D12&gt;0),$M12="Yes",N(+$K12)&gt;0,ISNUMBER($T12),N(+$T12)&gt;=N(+$K12))</f>
        <v/>
      </c>
    </row>
    <row r="13">
      <c r="A13" s="1" t="n"/>
      <c r="B13" s="48" t="n"/>
      <c r="C13" s="48" t="n"/>
      <c r="D13" s="49" t="n"/>
      <c r="E13" s="50" t="n"/>
      <c r="F13" s="49" t="n"/>
      <c r="G13" s="48" t="n"/>
      <c r="H13" s="48" t="n"/>
      <c r="I13" s="49" t="n"/>
      <c r="J13" s="51" t="n"/>
      <c r="K13" s="51" t="n"/>
      <c r="L13" s="50" t="n"/>
      <c r="M13" s="48" t="n"/>
      <c r="N13" s="48" t="n"/>
      <c r="O13" s="31">
        <f>IF(AND(ISNUMBER($D13),$D13&gt;0),$D13*N(+$E13)/12,"")</f>
        <v/>
      </c>
      <c r="P13" s="31">
        <f>IF(NOT(AND(ISNUMBER($D13),$D13&gt;0)),"",IF(N(+$F13)&lt;=0,"No minimum",IF(N(+$F13)&lt;=$D13*N(+$E13)/12,"Never at minimum",IF(N(+$E13)=0,0,N(+$F13)*NPER(N(+$E13)/12,-N(+$F13),$D13)-$D13))))</f>
        <v/>
      </c>
      <c r="Q13" s="52">
        <f>IF(NOT(AND(ISNUMBER($D13),$D13&gt;0)),"",IF(AND(N(+$F13)&gt;0,N(+$F13)&lt;=$D13*N(+$E13)/12),"Minimum doesn't cover interest: pay more here",IF(N(+$F13)&lt;=0,"Add the minimum payment",IF($H13="Not sure - ask lender","Ask your lender before paying extra",IF($H13="Locked until a date",IF(N(+$J13)=0,"Locked: add the unlock date","Locked until "&amp;TEXT($J13,"mmm yyyy")),IF($H13="Allowed with a fee",IF(N(+$I13)=0,"Add the fee amount (blank = no fee)",IF(NOT(ISNUMBER($P13)),"Fee is worth paying: minimums never clear this",IF(N(+$I13)&lt;$P13,"Worth it: saves about "&amp;TEXT($P13-$I13,"#,##0")&amp;" after the fee","Wait: the fee is more than the interest you'd save"&amp;IF(N(+$J13)&gt;0," (until "&amp;TEXT($J13,"mmm yyyy")&amp;")","")))),"OK to pay early"))))))</f>
        <v/>
      </c>
      <c r="R13" s="53">
        <f>IF($U13="","",IF($U13&lt;=Plan!$C$6,"Now",IF($U13&gt;=DATE(2199,12,1),"Not yet",TEXT($U13,"mmm yyyy"))))</f>
        <v/>
      </c>
      <c r="S13" s="54">
        <f>IF(AND(ISNUMBER($D13),$D13&gt;0),CHOOSE(Plan!$K$5,AA13,AB13,AC13,AD13),"")</f>
        <v/>
      </c>
      <c r="T13" s="28">
        <f>IF(AND(ISNUMBER($D13),$D13&gt;0),CHOOSE(Plan!$K$5,'Calc Smart'!I$10,'Calc Avalanche'!I$10,'Calc Snowball'!I$10,'Calc Cashflow'!I$10),"")</f>
        <v/>
      </c>
      <c r="U13" s="1">
        <f>IF(NOT(AND(ISNUMBER($D13),$D13&gt;0)),"",IF($H13="Not sure - ask lender",DATE(2199,12,1),IF($H13="Locked until a date",IF(N(+$J13)=0,DATE(2199,12,1),$J13),IF(AND($H13="Allowed with a fee",N(+$I13)&gt;0,ISNUMBER($P13),N(+$I13)&gt;=N(+$P13)),IF(N(+$J13)=0,DATE(2199,12,1),$J13),DATE(1900,1,1)))))</f>
        <v/>
      </c>
      <c r="V13" s="42">
        <f>IF(NOT(AND(ISNUMBER($D13),$D13&gt;0)),"",IF($AE13,"⚠ Cleared after the promo ends ("&amp;TEXT($K13,"mmm yyyy")&amp;"): back-interest likely, not counted here. Try Smart.",IF($G13="Yes","Behind on payments: deal with this first",IF(AND($M13="Yes",N(+$K13)&gt;Plan!$C$6),"Deferred interest: clear by "&amp;TEXT($K13,"mmm yyyy")&amp;" or back-interest is added",IF($U13&gt;Plan!$C$6,$Q13,CHOOSE(Plan!$K$5,IF(Plan!$K$7,"Frees up monthly money fastest","Highest APR among the rest"),"APR "&amp;TEXT(N(+$E13),"0.0%"),"Balance "&amp;TEXT($D13,"#,##0"),"Frees "&amp;TEXT(N(+$F13),"#,##0")&amp;"/month when cleared"))))))</f>
        <v/>
      </c>
      <c r="W13" s="1">
        <f>IF(AND(ISNUMBER($D13),$D13&gt;0),1000-N(+$E13)*100+ROW()/1000000,"")</f>
        <v/>
      </c>
      <c r="X13" s="1">
        <f>IF(AND(ISNUMBER($D13),$D13&gt;0),$D13+ROW()/1000000,"")</f>
        <v/>
      </c>
      <c r="Y13" s="1">
        <f>IF(AND(ISNUMBER($D13),$D13&gt;0),1000-IF(N(+$F13)&gt;0,N(+$F13)/$D13,0)*100+ROW()/1000000,"")</f>
        <v/>
      </c>
      <c r="Z13" s="1">
        <f>IF(AND(ISNUMBER($D13),$D13&gt;0),IF($G13="Yes",0,IF(AND($M13="Yes",N(+$K13)&gt;Plan!$C$6),1,2))*1000000+IF(IF($G13="Yes",0,IF(AND($M13="Yes",N(+$K13)&gt;Plan!$C$6),1,2))=0,1000-IF(N(+$F13)&gt;0,N(+$F13)/$D13,0)*100+ROW()/1000000,IF(IF($G13="Yes",0,IF(AND($M13="Yes",N(+$K13)&gt;Plan!$C$6),1,2))=1,N(+$K13)/100,IF(Plan!$K$7,1000-IF(N(+$F13)&gt;0,N(+$F13)/$D13,0)*100+ROW()/1000000,1000-N(+$E13)*100+ROW()/1000000))),"")</f>
        <v/>
      </c>
      <c r="AA13" s="1">
        <f>IF(Z13="","",COUNTIF(Z$7:Z$18,"&lt;"&amp;Z13)+1)</f>
        <v/>
      </c>
      <c r="AB13" s="1">
        <f>IF(W13="","",COUNTIF(W$7:W$18,"&lt;"&amp;W13)+1)</f>
        <v/>
      </c>
      <c r="AC13" s="1">
        <f>IF(X13="","",COUNTIF(X$7:X$18,"&lt;"&amp;X13)+1)</f>
        <v/>
      </c>
      <c r="AD13" s="1">
        <f>IF(Y13="","",COUNTIF(Y$7:Y$18,"&lt;"&amp;Y13)+1)</f>
        <v/>
      </c>
      <c r="AE13">
        <f>AND(AND(ISNUMBER($D13),$D13&gt;0),$M13="Yes",N(+$K13)&gt;0,ISNUMBER($T13),N(+$T13)&gt;=N(+$K13))</f>
        <v/>
      </c>
    </row>
    <row r="14">
      <c r="A14" s="1" t="n"/>
      <c r="B14" s="55" t="n"/>
      <c r="C14" s="55" t="n"/>
      <c r="D14" s="56" t="n"/>
      <c r="E14" s="57" t="n"/>
      <c r="F14" s="56" t="n"/>
      <c r="G14" s="55" t="n"/>
      <c r="H14" s="55" t="n"/>
      <c r="I14" s="56" t="n"/>
      <c r="J14" s="58" t="n"/>
      <c r="K14" s="58" t="n"/>
      <c r="L14" s="57" t="n"/>
      <c r="M14" s="55" t="n"/>
      <c r="N14" s="55" t="n"/>
      <c r="O14" s="32">
        <f>IF(AND(ISNUMBER($D14),$D14&gt;0),$D14*N(+$E14)/12,"")</f>
        <v/>
      </c>
      <c r="P14" s="32">
        <f>IF(NOT(AND(ISNUMBER($D14),$D14&gt;0)),"",IF(N(+$F14)&lt;=0,"No minimum",IF(N(+$F14)&lt;=$D14*N(+$E14)/12,"Never at minimum",IF(N(+$E14)=0,0,N(+$F14)*NPER(N(+$E14)/12,-N(+$F14),$D14)-$D14))))</f>
        <v/>
      </c>
      <c r="Q14" s="59">
        <f>IF(NOT(AND(ISNUMBER($D14),$D14&gt;0)),"",IF(AND(N(+$F14)&gt;0,N(+$F14)&lt;=$D14*N(+$E14)/12),"Minimum doesn't cover interest: pay more here",IF(N(+$F14)&lt;=0,"Add the minimum payment",IF($H14="Not sure - ask lender","Ask your lender before paying extra",IF($H14="Locked until a date",IF(N(+$J14)=0,"Locked: add the unlock date","Locked until "&amp;TEXT($J14,"mmm yyyy")),IF($H14="Allowed with a fee",IF(N(+$I14)=0,"Add the fee amount (blank = no fee)",IF(NOT(ISNUMBER($P14)),"Fee is worth paying: minimums never clear this",IF(N(+$I14)&lt;$P14,"Worth it: saves about "&amp;TEXT($P14-$I14,"#,##0")&amp;" after the fee","Wait: the fee is more than the interest you'd save"&amp;IF(N(+$J14)&gt;0," (until "&amp;TEXT($J14,"mmm yyyy")&amp;")","")))),"OK to pay early"))))))</f>
        <v/>
      </c>
      <c r="R14" s="60">
        <f>IF($U14="","",IF($U14&lt;=Plan!$C$6,"Now",IF($U14&gt;=DATE(2199,12,1),"Not yet",TEXT($U14,"mmm yyyy"))))</f>
        <v/>
      </c>
      <c r="S14" s="61">
        <f>IF(AND(ISNUMBER($D14),$D14&gt;0),CHOOSE(Plan!$K$5,AA14,AB14,AC14,AD14),"")</f>
        <v/>
      </c>
      <c r="T14" s="33">
        <f>IF(AND(ISNUMBER($D14),$D14&gt;0),CHOOSE(Plan!$K$5,'Calc Smart'!J$10,'Calc Avalanche'!J$10,'Calc Snowball'!J$10,'Calc Cashflow'!J$10),"")</f>
        <v/>
      </c>
      <c r="U14" s="1">
        <f>IF(NOT(AND(ISNUMBER($D14),$D14&gt;0)),"",IF($H14="Not sure - ask lender",DATE(2199,12,1),IF($H14="Locked until a date",IF(N(+$J14)=0,DATE(2199,12,1),$J14),IF(AND($H14="Allowed with a fee",N(+$I14)&gt;0,ISNUMBER($P14),N(+$I14)&gt;=N(+$P14)),IF(N(+$J14)=0,DATE(2199,12,1),$J14),DATE(1900,1,1)))))</f>
        <v/>
      </c>
      <c r="V14" s="45">
        <f>IF(NOT(AND(ISNUMBER($D14),$D14&gt;0)),"",IF($AE14,"⚠ Cleared after the promo ends ("&amp;TEXT($K14,"mmm yyyy")&amp;"): back-interest likely, not counted here. Try Smart.",IF($G14="Yes","Behind on payments: deal with this first",IF(AND($M14="Yes",N(+$K14)&gt;Plan!$C$6),"Deferred interest: clear by "&amp;TEXT($K14,"mmm yyyy")&amp;" or back-interest is added",IF($U14&gt;Plan!$C$6,$Q14,CHOOSE(Plan!$K$5,IF(Plan!$K$7,"Frees up monthly money fastest","Highest APR among the rest"),"APR "&amp;TEXT(N(+$E14),"0.0%"),"Balance "&amp;TEXT($D14,"#,##0"),"Frees "&amp;TEXT(N(+$F14),"#,##0")&amp;"/month when cleared"))))))</f>
        <v/>
      </c>
      <c r="W14" s="1">
        <f>IF(AND(ISNUMBER($D14),$D14&gt;0),1000-N(+$E14)*100+ROW()/1000000,"")</f>
        <v/>
      </c>
      <c r="X14" s="1">
        <f>IF(AND(ISNUMBER($D14),$D14&gt;0),$D14+ROW()/1000000,"")</f>
        <v/>
      </c>
      <c r="Y14" s="1">
        <f>IF(AND(ISNUMBER($D14),$D14&gt;0),1000-IF(N(+$F14)&gt;0,N(+$F14)/$D14,0)*100+ROW()/1000000,"")</f>
        <v/>
      </c>
      <c r="Z14" s="1">
        <f>IF(AND(ISNUMBER($D14),$D14&gt;0),IF($G14="Yes",0,IF(AND($M14="Yes",N(+$K14)&gt;Plan!$C$6),1,2))*1000000+IF(IF($G14="Yes",0,IF(AND($M14="Yes",N(+$K14)&gt;Plan!$C$6),1,2))=0,1000-IF(N(+$F14)&gt;0,N(+$F14)/$D14,0)*100+ROW()/1000000,IF(IF($G14="Yes",0,IF(AND($M14="Yes",N(+$K14)&gt;Plan!$C$6),1,2))=1,N(+$K14)/100,IF(Plan!$K$7,1000-IF(N(+$F14)&gt;0,N(+$F14)/$D14,0)*100+ROW()/1000000,1000-N(+$E14)*100+ROW()/1000000))),"")</f>
        <v/>
      </c>
      <c r="AA14" s="1">
        <f>IF(Z14="","",COUNTIF(Z$7:Z$18,"&lt;"&amp;Z14)+1)</f>
        <v/>
      </c>
      <c r="AB14" s="1">
        <f>IF(W14="","",COUNTIF(W$7:W$18,"&lt;"&amp;W14)+1)</f>
        <v/>
      </c>
      <c r="AC14" s="1">
        <f>IF(X14="","",COUNTIF(X$7:X$18,"&lt;"&amp;X14)+1)</f>
        <v/>
      </c>
      <c r="AD14" s="1">
        <f>IF(Y14="","",COUNTIF(Y$7:Y$18,"&lt;"&amp;Y14)+1)</f>
        <v/>
      </c>
      <c r="AE14">
        <f>AND(AND(ISNUMBER($D14),$D14&gt;0),$M14="Yes",N(+$K14)&gt;0,ISNUMBER($T14),N(+$T14)&gt;=N(+$K14))</f>
        <v/>
      </c>
    </row>
    <row r="15">
      <c r="A15" s="1" t="n"/>
      <c r="B15" s="48" t="n"/>
      <c r="C15" s="48" t="n"/>
      <c r="D15" s="49" t="n"/>
      <c r="E15" s="50" t="n"/>
      <c r="F15" s="49" t="n"/>
      <c r="G15" s="48" t="n"/>
      <c r="H15" s="48" t="n"/>
      <c r="I15" s="49" t="n"/>
      <c r="J15" s="51" t="n"/>
      <c r="K15" s="51" t="n"/>
      <c r="L15" s="50" t="n"/>
      <c r="M15" s="48" t="n"/>
      <c r="N15" s="48" t="n"/>
      <c r="O15" s="31">
        <f>IF(AND(ISNUMBER($D15),$D15&gt;0),$D15*N(+$E15)/12,"")</f>
        <v/>
      </c>
      <c r="P15" s="31">
        <f>IF(NOT(AND(ISNUMBER($D15),$D15&gt;0)),"",IF(N(+$F15)&lt;=0,"No minimum",IF(N(+$F15)&lt;=$D15*N(+$E15)/12,"Never at minimum",IF(N(+$E15)=0,0,N(+$F15)*NPER(N(+$E15)/12,-N(+$F15),$D15)-$D15))))</f>
        <v/>
      </c>
      <c r="Q15" s="52">
        <f>IF(NOT(AND(ISNUMBER($D15),$D15&gt;0)),"",IF(AND(N(+$F15)&gt;0,N(+$F15)&lt;=$D15*N(+$E15)/12),"Minimum doesn't cover interest: pay more here",IF(N(+$F15)&lt;=0,"Add the minimum payment",IF($H15="Not sure - ask lender","Ask your lender before paying extra",IF($H15="Locked until a date",IF(N(+$J15)=0,"Locked: add the unlock date","Locked until "&amp;TEXT($J15,"mmm yyyy")),IF($H15="Allowed with a fee",IF(N(+$I15)=0,"Add the fee amount (blank = no fee)",IF(NOT(ISNUMBER($P15)),"Fee is worth paying: minimums never clear this",IF(N(+$I15)&lt;$P15,"Worth it: saves about "&amp;TEXT($P15-$I15,"#,##0")&amp;" after the fee","Wait: the fee is more than the interest you'd save"&amp;IF(N(+$J15)&gt;0," (until "&amp;TEXT($J15,"mmm yyyy")&amp;")","")))),"OK to pay early"))))))</f>
        <v/>
      </c>
      <c r="R15" s="53">
        <f>IF($U15="","",IF($U15&lt;=Plan!$C$6,"Now",IF($U15&gt;=DATE(2199,12,1),"Not yet",TEXT($U15,"mmm yyyy"))))</f>
        <v/>
      </c>
      <c r="S15" s="54">
        <f>IF(AND(ISNUMBER($D15),$D15&gt;0),CHOOSE(Plan!$K$5,AA15,AB15,AC15,AD15),"")</f>
        <v/>
      </c>
      <c r="T15" s="28">
        <f>IF(AND(ISNUMBER($D15),$D15&gt;0),CHOOSE(Plan!$K$5,'Calc Smart'!K$10,'Calc Avalanche'!K$10,'Calc Snowball'!K$10,'Calc Cashflow'!K$10),"")</f>
        <v/>
      </c>
      <c r="U15" s="1">
        <f>IF(NOT(AND(ISNUMBER($D15),$D15&gt;0)),"",IF($H15="Not sure - ask lender",DATE(2199,12,1),IF($H15="Locked until a date",IF(N(+$J15)=0,DATE(2199,12,1),$J15),IF(AND($H15="Allowed with a fee",N(+$I15)&gt;0,ISNUMBER($P15),N(+$I15)&gt;=N(+$P15)),IF(N(+$J15)=0,DATE(2199,12,1),$J15),DATE(1900,1,1)))))</f>
        <v/>
      </c>
      <c r="V15" s="42">
        <f>IF(NOT(AND(ISNUMBER($D15),$D15&gt;0)),"",IF($AE15,"⚠ Cleared after the promo ends ("&amp;TEXT($K15,"mmm yyyy")&amp;"): back-interest likely, not counted here. Try Smart.",IF($G15="Yes","Behind on payments: deal with this first",IF(AND($M15="Yes",N(+$K15)&gt;Plan!$C$6),"Deferred interest: clear by "&amp;TEXT($K15,"mmm yyyy")&amp;" or back-interest is added",IF($U15&gt;Plan!$C$6,$Q15,CHOOSE(Plan!$K$5,IF(Plan!$K$7,"Frees up monthly money fastest","Highest APR among the rest"),"APR "&amp;TEXT(N(+$E15),"0.0%"),"Balance "&amp;TEXT($D15,"#,##0"),"Frees "&amp;TEXT(N(+$F15),"#,##0")&amp;"/month when cleared"))))))</f>
        <v/>
      </c>
      <c r="W15" s="1">
        <f>IF(AND(ISNUMBER($D15),$D15&gt;0),1000-N(+$E15)*100+ROW()/1000000,"")</f>
        <v/>
      </c>
      <c r="X15" s="1">
        <f>IF(AND(ISNUMBER($D15),$D15&gt;0),$D15+ROW()/1000000,"")</f>
        <v/>
      </c>
      <c r="Y15" s="1">
        <f>IF(AND(ISNUMBER($D15),$D15&gt;0),1000-IF(N(+$F15)&gt;0,N(+$F15)/$D15,0)*100+ROW()/1000000,"")</f>
        <v/>
      </c>
      <c r="Z15" s="1">
        <f>IF(AND(ISNUMBER($D15),$D15&gt;0),IF($G15="Yes",0,IF(AND($M15="Yes",N(+$K15)&gt;Plan!$C$6),1,2))*1000000+IF(IF($G15="Yes",0,IF(AND($M15="Yes",N(+$K15)&gt;Plan!$C$6),1,2))=0,1000-IF(N(+$F15)&gt;0,N(+$F15)/$D15,0)*100+ROW()/1000000,IF(IF($G15="Yes",0,IF(AND($M15="Yes",N(+$K15)&gt;Plan!$C$6),1,2))=1,N(+$K15)/100,IF(Plan!$K$7,1000-IF(N(+$F15)&gt;0,N(+$F15)/$D15,0)*100+ROW()/1000000,1000-N(+$E15)*100+ROW()/1000000))),"")</f>
        <v/>
      </c>
      <c r="AA15" s="1">
        <f>IF(Z15="","",COUNTIF(Z$7:Z$18,"&lt;"&amp;Z15)+1)</f>
        <v/>
      </c>
      <c r="AB15" s="1">
        <f>IF(W15="","",COUNTIF(W$7:W$18,"&lt;"&amp;W15)+1)</f>
        <v/>
      </c>
      <c r="AC15" s="1">
        <f>IF(X15="","",COUNTIF(X$7:X$18,"&lt;"&amp;X15)+1)</f>
        <v/>
      </c>
      <c r="AD15" s="1">
        <f>IF(Y15="","",COUNTIF(Y$7:Y$18,"&lt;"&amp;Y15)+1)</f>
        <v/>
      </c>
      <c r="AE15">
        <f>AND(AND(ISNUMBER($D15),$D15&gt;0),$M15="Yes",N(+$K15)&gt;0,ISNUMBER($T15),N(+$T15)&gt;=N(+$K15))</f>
        <v/>
      </c>
    </row>
    <row r="16">
      <c r="A16" s="1" t="n"/>
      <c r="B16" s="55" t="n"/>
      <c r="C16" s="55" t="n"/>
      <c r="D16" s="56" t="n"/>
      <c r="E16" s="57" t="n"/>
      <c r="F16" s="56" t="n"/>
      <c r="G16" s="55" t="n"/>
      <c r="H16" s="55" t="n"/>
      <c r="I16" s="56" t="n"/>
      <c r="J16" s="58" t="n"/>
      <c r="K16" s="58" t="n"/>
      <c r="L16" s="57" t="n"/>
      <c r="M16" s="55" t="n"/>
      <c r="N16" s="55" t="n"/>
      <c r="O16" s="32">
        <f>IF(AND(ISNUMBER($D16),$D16&gt;0),$D16*N(+$E16)/12,"")</f>
        <v/>
      </c>
      <c r="P16" s="32">
        <f>IF(NOT(AND(ISNUMBER($D16),$D16&gt;0)),"",IF(N(+$F16)&lt;=0,"No minimum",IF(N(+$F16)&lt;=$D16*N(+$E16)/12,"Never at minimum",IF(N(+$E16)=0,0,N(+$F16)*NPER(N(+$E16)/12,-N(+$F16),$D16)-$D16))))</f>
        <v/>
      </c>
      <c r="Q16" s="59">
        <f>IF(NOT(AND(ISNUMBER($D16),$D16&gt;0)),"",IF(AND(N(+$F16)&gt;0,N(+$F16)&lt;=$D16*N(+$E16)/12),"Minimum doesn't cover interest: pay more here",IF(N(+$F16)&lt;=0,"Add the minimum payment",IF($H16="Not sure - ask lender","Ask your lender before paying extra",IF($H16="Locked until a date",IF(N(+$J16)=0,"Locked: add the unlock date","Locked until "&amp;TEXT($J16,"mmm yyyy")),IF($H16="Allowed with a fee",IF(N(+$I16)=0,"Add the fee amount (blank = no fee)",IF(NOT(ISNUMBER($P16)),"Fee is worth paying: minimums never clear this",IF(N(+$I16)&lt;$P16,"Worth it: saves about "&amp;TEXT($P16-$I16,"#,##0")&amp;" after the fee","Wait: the fee is more than the interest you'd save"&amp;IF(N(+$J16)&gt;0," (until "&amp;TEXT($J16,"mmm yyyy")&amp;")","")))),"OK to pay early"))))))</f>
        <v/>
      </c>
      <c r="R16" s="60">
        <f>IF($U16="","",IF($U16&lt;=Plan!$C$6,"Now",IF($U16&gt;=DATE(2199,12,1),"Not yet",TEXT($U16,"mmm yyyy"))))</f>
        <v/>
      </c>
      <c r="S16" s="61">
        <f>IF(AND(ISNUMBER($D16),$D16&gt;0),CHOOSE(Plan!$K$5,AA16,AB16,AC16,AD16),"")</f>
        <v/>
      </c>
      <c r="T16" s="33">
        <f>IF(AND(ISNUMBER($D16),$D16&gt;0),CHOOSE(Plan!$K$5,'Calc Smart'!L$10,'Calc Avalanche'!L$10,'Calc Snowball'!L$10,'Calc Cashflow'!L$10),"")</f>
        <v/>
      </c>
      <c r="U16" s="1">
        <f>IF(NOT(AND(ISNUMBER($D16),$D16&gt;0)),"",IF($H16="Not sure - ask lender",DATE(2199,12,1),IF($H16="Locked until a date",IF(N(+$J16)=0,DATE(2199,12,1),$J16),IF(AND($H16="Allowed with a fee",N(+$I16)&gt;0,ISNUMBER($P16),N(+$I16)&gt;=N(+$P16)),IF(N(+$J16)=0,DATE(2199,12,1),$J16),DATE(1900,1,1)))))</f>
        <v/>
      </c>
      <c r="V16" s="45">
        <f>IF(NOT(AND(ISNUMBER($D16),$D16&gt;0)),"",IF($AE16,"⚠ Cleared after the promo ends ("&amp;TEXT($K16,"mmm yyyy")&amp;"): back-interest likely, not counted here. Try Smart.",IF($G16="Yes","Behind on payments: deal with this first",IF(AND($M16="Yes",N(+$K16)&gt;Plan!$C$6),"Deferred interest: clear by "&amp;TEXT($K16,"mmm yyyy")&amp;" or back-interest is added",IF($U16&gt;Plan!$C$6,$Q16,CHOOSE(Plan!$K$5,IF(Plan!$K$7,"Frees up monthly money fastest","Highest APR among the rest"),"APR "&amp;TEXT(N(+$E16),"0.0%"),"Balance "&amp;TEXT($D16,"#,##0"),"Frees "&amp;TEXT(N(+$F16),"#,##0")&amp;"/month when cleared"))))))</f>
        <v/>
      </c>
      <c r="W16" s="1">
        <f>IF(AND(ISNUMBER($D16),$D16&gt;0),1000-N(+$E16)*100+ROW()/1000000,"")</f>
        <v/>
      </c>
      <c r="X16" s="1">
        <f>IF(AND(ISNUMBER($D16),$D16&gt;0),$D16+ROW()/1000000,"")</f>
        <v/>
      </c>
      <c r="Y16" s="1">
        <f>IF(AND(ISNUMBER($D16),$D16&gt;0),1000-IF(N(+$F16)&gt;0,N(+$F16)/$D16,0)*100+ROW()/1000000,"")</f>
        <v/>
      </c>
      <c r="Z16" s="1">
        <f>IF(AND(ISNUMBER($D16),$D16&gt;0),IF($G16="Yes",0,IF(AND($M16="Yes",N(+$K16)&gt;Plan!$C$6),1,2))*1000000+IF(IF($G16="Yes",0,IF(AND($M16="Yes",N(+$K16)&gt;Plan!$C$6),1,2))=0,1000-IF(N(+$F16)&gt;0,N(+$F16)/$D16,0)*100+ROW()/1000000,IF(IF($G16="Yes",0,IF(AND($M16="Yes",N(+$K16)&gt;Plan!$C$6),1,2))=1,N(+$K16)/100,IF(Plan!$K$7,1000-IF(N(+$F16)&gt;0,N(+$F16)/$D16,0)*100+ROW()/1000000,1000-N(+$E16)*100+ROW()/1000000))),"")</f>
        <v/>
      </c>
      <c r="AA16" s="1">
        <f>IF(Z16="","",COUNTIF(Z$7:Z$18,"&lt;"&amp;Z16)+1)</f>
        <v/>
      </c>
      <c r="AB16" s="1">
        <f>IF(W16="","",COUNTIF(W$7:W$18,"&lt;"&amp;W16)+1)</f>
        <v/>
      </c>
      <c r="AC16" s="1">
        <f>IF(X16="","",COUNTIF(X$7:X$18,"&lt;"&amp;X16)+1)</f>
        <v/>
      </c>
      <c r="AD16" s="1">
        <f>IF(Y16="","",COUNTIF(Y$7:Y$18,"&lt;"&amp;Y16)+1)</f>
        <v/>
      </c>
      <c r="AE16">
        <f>AND(AND(ISNUMBER($D16),$D16&gt;0),$M16="Yes",N(+$K16)&gt;0,ISNUMBER($T16),N(+$T16)&gt;=N(+$K16))</f>
        <v/>
      </c>
    </row>
    <row r="17">
      <c r="A17" s="1" t="n"/>
      <c r="B17" s="48" t="n"/>
      <c r="C17" s="48" t="n"/>
      <c r="D17" s="49" t="n"/>
      <c r="E17" s="50" t="n"/>
      <c r="F17" s="49" t="n"/>
      <c r="G17" s="48" t="n"/>
      <c r="H17" s="48" t="n"/>
      <c r="I17" s="49" t="n"/>
      <c r="J17" s="51" t="n"/>
      <c r="K17" s="51" t="n"/>
      <c r="L17" s="50" t="n"/>
      <c r="M17" s="48" t="n"/>
      <c r="N17" s="48" t="n"/>
      <c r="O17" s="31">
        <f>IF(AND(ISNUMBER($D17),$D17&gt;0),$D17*N(+$E17)/12,"")</f>
        <v/>
      </c>
      <c r="P17" s="31">
        <f>IF(NOT(AND(ISNUMBER($D17),$D17&gt;0)),"",IF(N(+$F17)&lt;=0,"No minimum",IF(N(+$F17)&lt;=$D17*N(+$E17)/12,"Never at minimum",IF(N(+$E17)=0,0,N(+$F17)*NPER(N(+$E17)/12,-N(+$F17),$D17)-$D17))))</f>
        <v/>
      </c>
      <c r="Q17" s="52">
        <f>IF(NOT(AND(ISNUMBER($D17),$D17&gt;0)),"",IF(AND(N(+$F17)&gt;0,N(+$F17)&lt;=$D17*N(+$E17)/12),"Minimum doesn't cover interest: pay more here",IF(N(+$F17)&lt;=0,"Add the minimum payment",IF($H17="Not sure - ask lender","Ask your lender before paying extra",IF($H17="Locked until a date",IF(N(+$J17)=0,"Locked: add the unlock date","Locked until "&amp;TEXT($J17,"mmm yyyy")),IF($H17="Allowed with a fee",IF(N(+$I17)=0,"Add the fee amount (blank = no fee)",IF(NOT(ISNUMBER($P17)),"Fee is worth paying: minimums never clear this",IF(N(+$I17)&lt;$P17,"Worth it: saves about "&amp;TEXT($P17-$I17,"#,##0")&amp;" after the fee","Wait: the fee is more than the interest you'd save"&amp;IF(N(+$J17)&gt;0," (until "&amp;TEXT($J17,"mmm yyyy")&amp;")","")))),"OK to pay early"))))))</f>
        <v/>
      </c>
      <c r="R17" s="53">
        <f>IF($U17="","",IF($U17&lt;=Plan!$C$6,"Now",IF($U17&gt;=DATE(2199,12,1),"Not yet",TEXT($U17,"mmm yyyy"))))</f>
        <v/>
      </c>
      <c r="S17" s="54">
        <f>IF(AND(ISNUMBER($D17),$D17&gt;0),CHOOSE(Plan!$K$5,AA17,AB17,AC17,AD17),"")</f>
        <v/>
      </c>
      <c r="T17" s="28">
        <f>IF(AND(ISNUMBER($D17),$D17&gt;0),CHOOSE(Plan!$K$5,'Calc Smart'!M$10,'Calc Avalanche'!M$10,'Calc Snowball'!M$10,'Calc Cashflow'!M$10),"")</f>
        <v/>
      </c>
      <c r="U17" s="1">
        <f>IF(NOT(AND(ISNUMBER($D17),$D17&gt;0)),"",IF($H17="Not sure - ask lender",DATE(2199,12,1),IF($H17="Locked until a date",IF(N(+$J17)=0,DATE(2199,12,1),$J17),IF(AND($H17="Allowed with a fee",N(+$I17)&gt;0,ISNUMBER($P17),N(+$I17)&gt;=N(+$P17)),IF(N(+$J17)=0,DATE(2199,12,1),$J17),DATE(1900,1,1)))))</f>
        <v/>
      </c>
      <c r="V17" s="42">
        <f>IF(NOT(AND(ISNUMBER($D17),$D17&gt;0)),"",IF($AE17,"⚠ Cleared after the promo ends ("&amp;TEXT($K17,"mmm yyyy")&amp;"): back-interest likely, not counted here. Try Smart.",IF($G17="Yes","Behind on payments: deal with this first",IF(AND($M17="Yes",N(+$K17)&gt;Plan!$C$6),"Deferred interest: clear by "&amp;TEXT($K17,"mmm yyyy")&amp;" or back-interest is added",IF($U17&gt;Plan!$C$6,$Q17,CHOOSE(Plan!$K$5,IF(Plan!$K$7,"Frees up monthly money fastest","Highest APR among the rest"),"APR "&amp;TEXT(N(+$E17),"0.0%"),"Balance "&amp;TEXT($D17,"#,##0"),"Frees "&amp;TEXT(N(+$F17),"#,##0")&amp;"/month when cleared"))))))</f>
        <v/>
      </c>
      <c r="W17" s="1">
        <f>IF(AND(ISNUMBER($D17),$D17&gt;0),1000-N(+$E17)*100+ROW()/1000000,"")</f>
        <v/>
      </c>
      <c r="X17" s="1">
        <f>IF(AND(ISNUMBER($D17),$D17&gt;0),$D17+ROW()/1000000,"")</f>
        <v/>
      </c>
      <c r="Y17" s="1">
        <f>IF(AND(ISNUMBER($D17),$D17&gt;0),1000-IF(N(+$F17)&gt;0,N(+$F17)/$D17,0)*100+ROW()/1000000,"")</f>
        <v/>
      </c>
      <c r="Z17" s="1">
        <f>IF(AND(ISNUMBER($D17),$D17&gt;0),IF($G17="Yes",0,IF(AND($M17="Yes",N(+$K17)&gt;Plan!$C$6),1,2))*1000000+IF(IF($G17="Yes",0,IF(AND($M17="Yes",N(+$K17)&gt;Plan!$C$6),1,2))=0,1000-IF(N(+$F17)&gt;0,N(+$F17)/$D17,0)*100+ROW()/1000000,IF(IF($G17="Yes",0,IF(AND($M17="Yes",N(+$K17)&gt;Plan!$C$6),1,2))=1,N(+$K17)/100,IF(Plan!$K$7,1000-IF(N(+$F17)&gt;0,N(+$F17)/$D17,0)*100+ROW()/1000000,1000-N(+$E17)*100+ROW()/1000000))),"")</f>
        <v/>
      </c>
      <c r="AA17" s="1">
        <f>IF(Z17="","",COUNTIF(Z$7:Z$18,"&lt;"&amp;Z17)+1)</f>
        <v/>
      </c>
      <c r="AB17" s="1">
        <f>IF(W17="","",COUNTIF(W$7:W$18,"&lt;"&amp;W17)+1)</f>
        <v/>
      </c>
      <c r="AC17" s="1">
        <f>IF(X17="","",COUNTIF(X$7:X$18,"&lt;"&amp;X17)+1)</f>
        <v/>
      </c>
      <c r="AD17" s="1">
        <f>IF(Y17="","",COUNTIF(Y$7:Y$18,"&lt;"&amp;Y17)+1)</f>
        <v/>
      </c>
      <c r="AE17">
        <f>AND(AND(ISNUMBER($D17),$D17&gt;0),$M17="Yes",N(+$K17)&gt;0,ISNUMBER($T17),N(+$T17)&gt;=N(+$K17))</f>
        <v/>
      </c>
    </row>
    <row r="18">
      <c r="A18" s="1" t="n"/>
      <c r="B18" s="55" t="n"/>
      <c r="C18" s="55" t="n"/>
      <c r="D18" s="56" t="n"/>
      <c r="E18" s="57" t="n"/>
      <c r="F18" s="56" t="n"/>
      <c r="G18" s="55" t="n"/>
      <c r="H18" s="55" t="n"/>
      <c r="I18" s="56" t="n"/>
      <c r="J18" s="58" t="n"/>
      <c r="K18" s="58" t="n"/>
      <c r="L18" s="57" t="n"/>
      <c r="M18" s="55" t="n"/>
      <c r="N18" s="55" t="n"/>
      <c r="O18" s="32">
        <f>IF(AND(ISNUMBER($D18),$D18&gt;0),$D18*N(+$E18)/12,"")</f>
        <v/>
      </c>
      <c r="P18" s="32">
        <f>IF(NOT(AND(ISNUMBER($D18),$D18&gt;0)),"",IF(N(+$F18)&lt;=0,"No minimum",IF(N(+$F18)&lt;=$D18*N(+$E18)/12,"Never at minimum",IF(N(+$E18)=0,0,N(+$F18)*NPER(N(+$E18)/12,-N(+$F18),$D18)-$D18))))</f>
        <v/>
      </c>
      <c r="Q18" s="59">
        <f>IF(NOT(AND(ISNUMBER($D18),$D18&gt;0)),"",IF(AND(N(+$F18)&gt;0,N(+$F18)&lt;=$D18*N(+$E18)/12),"Minimum doesn't cover interest: pay more here",IF(N(+$F18)&lt;=0,"Add the minimum payment",IF($H18="Not sure - ask lender","Ask your lender before paying extra",IF($H18="Locked until a date",IF(N(+$J18)=0,"Locked: add the unlock date","Locked until "&amp;TEXT($J18,"mmm yyyy")),IF($H18="Allowed with a fee",IF(N(+$I18)=0,"Add the fee amount (blank = no fee)",IF(NOT(ISNUMBER($P18)),"Fee is worth paying: minimums never clear this",IF(N(+$I18)&lt;$P18,"Worth it: saves about "&amp;TEXT($P18-$I18,"#,##0")&amp;" after the fee","Wait: the fee is more than the interest you'd save"&amp;IF(N(+$J18)&gt;0," (until "&amp;TEXT($J18,"mmm yyyy")&amp;")","")))),"OK to pay early"))))))</f>
        <v/>
      </c>
      <c r="R18" s="60">
        <f>IF($U18="","",IF($U18&lt;=Plan!$C$6,"Now",IF($U18&gt;=DATE(2199,12,1),"Not yet",TEXT($U18,"mmm yyyy"))))</f>
        <v/>
      </c>
      <c r="S18" s="61">
        <f>IF(AND(ISNUMBER($D18),$D18&gt;0),CHOOSE(Plan!$K$5,AA18,AB18,AC18,AD18),"")</f>
        <v/>
      </c>
      <c r="T18" s="33">
        <f>IF(AND(ISNUMBER($D18),$D18&gt;0),CHOOSE(Plan!$K$5,'Calc Smart'!N$10,'Calc Avalanche'!N$10,'Calc Snowball'!N$10,'Calc Cashflow'!N$10),"")</f>
        <v/>
      </c>
      <c r="U18" s="1">
        <f>IF(NOT(AND(ISNUMBER($D18),$D18&gt;0)),"",IF($H18="Not sure - ask lender",DATE(2199,12,1),IF($H18="Locked until a date",IF(N(+$J18)=0,DATE(2199,12,1),$J18),IF(AND($H18="Allowed with a fee",N(+$I18)&gt;0,ISNUMBER($P18),N(+$I18)&gt;=N(+$P18)),IF(N(+$J18)=0,DATE(2199,12,1),$J18),DATE(1900,1,1)))))</f>
        <v/>
      </c>
      <c r="V18" s="45">
        <f>IF(NOT(AND(ISNUMBER($D18),$D18&gt;0)),"",IF($AE18,"⚠ Cleared after the promo ends ("&amp;TEXT($K18,"mmm yyyy")&amp;"): back-interest likely, not counted here. Try Smart.",IF($G18="Yes","Behind on payments: deal with this first",IF(AND($M18="Yes",N(+$K18)&gt;Plan!$C$6),"Deferred interest: clear by "&amp;TEXT($K18,"mmm yyyy")&amp;" or back-interest is added",IF($U18&gt;Plan!$C$6,$Q18,CHOOSE(Plan!$K$5,IF(Plan!$K$7,"Frees up monthly money fastest","Highest APR among the rest"),"APR "&amp;TEXT(N(+$E18),"0.0%"),"Balance "&amp;TEXT($D18,"#,##0"),"Frees "&amp;TEXT(N(+$F18),"#,##0")&amp;"/month when cleared"))))))</f>
        <v/>
      </c>
      <c r="W18" s="1">
        <f>IF(AND(ISNUMBER($D18),$D18&gt;0),1000-N(+$E18)*100+ROW()/1000000,"")</f>
        <v/>
      </c>
      <c r="X18" s="1">
        <f>IF(AND(ISNUMBER($D18),$D18&gt;0),$D18+ROW()/1000000,"")</f>
        <v/>
      </c>
      <c r="Y18" s="1">
        <f>IF(AND(ISNUMBER($D18),$D18&gt;0),1000-IF(N(+$F18)&gt;0,N(+$F18)/$D18,0)*100+ROW()/1000000,"")</f>
        <v/>
      </c>
      <c r="Z18" s="1">
        <f>IF(AND(ISNUMBER($D18),$D18&gt;0),IF($G18="Yes",0,IF(AND($M18="Yes",N(+$K18)&gt;Plan!$C$6),1,2))*1000000+IF(IF($G18="Yes",0,IF(AND($M18="Yes",N(+$K18)&gt;Plan!$C$6),1,2))=0,1000-IF(N(+$F18)&gt;0,N(+$F18)/$D18,0)*100+ROW()/1000000,IF(IF($G18="Yes",0,IF(AND($M18="Yes",N(+$K18)&gt;Plan!$C$6),1,2))=1,N(+$K18)/100,IF(Plan!$K$7,1000-IF(N(+$F18)&gt;0,N(+$F18)/$D18,0)*100+ROW()/1000000,1000-N(+$E18)*100+ROW()/1000000))),"")</f>
        <v/>
      </c>
      <c r="AA18" s="1">
        <f>IF(Z18="","",COUNTIF(Z$7:Z$18,"&lt;"&amp;Z18)+1)</f>
        <v/>
      </c>
      <c r="AB18" s="1">
        <f>IF(W18="","",COUNTIF(W$7:W$18,"&lt;"&amp;W18)+1)</f>
        <v/>
      </c>
      <c r="AC18" s="1">
        <f>IF(X18="","",COUNTIF(X$7:X$18,"&lt;"&amp;X18)+1)</f>
        <v/>
      </c>
      <c r="AD18" s="1">
        <f>IF(Y18="","",COUNTIF(Y$7:Y$18,"&lt;"&amp;Y18)+1)</f>
        <v/>
      </c>
      <c r="AE18">
        <f>AND(AND(ISNUMBER($D18),$D18&gt;0),$M18="Yes",N(+$K18)&gt;0,ISNUMBER($T18),N(+$T18)&gt;=N(+$K18))</f>
        <v/>
      </c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24" t="inlineStr">
        <is>
          <t>Rows marked (sample) are made up: overwrite or clear them. Up to 12 debts.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</sheetData>
  <conditionalFormatting sqref="G7:G18">
    <cfRule type="cellIs" priority="1" operator="equal" dxfId="1">
      <formula>"Yes"</formula>
    </cfRule>
    <cfRule type="cellIs" priority="2" operator="equal" dxfId="2">
      <formula>"No"</formula>
    </cfRule>
  </conditionalFormatting>
  <conditionalFormatting sqref="M7:M18">
    <cfRule type="cellIs" priority="3" operator="equal" dxfId="3">
      <formula>"Yes"</formula>
    </cfRule>
    <cfRule type="cellIs" priority="4" operator="equal" dxfId="2">
      <formula>"No"</formula>
    </cfRule>
  </conditionalFormatting>
  <conditionalFormatting sqref="H7:H18">
    <cfRule type="cellIs" priority="5" operator="equal" dxfId="4">
      <formula>"Allowed, no fee"</formula>
    </cfRule>
    <cfRule type="cellIs" priority="6" operator="equal" dxfId="3">
      <formula>"Allowed with a fee"</formula>
    </cfRule>
    <cfRule type="cellIs" priority="7" operator="equal" dxfId="5">
      <formula>"Locked until a date"</formula>
    </cfRule>
    <cfRule type="cellIs" priority="8" operator="equal" dxfId="1">
      <formula>"Not sure - ask lender"</formula>
    </cfRule>
  </conditionalFormatting>
  <conditionalFormatting sqref="Q7:Q18">
    <cfRule type="expression" priority="9" dxfId="6">
      <formula>OR(LEFT(Q7,4)="Wait",LEFT(Q7,6)="Locked",LEFT(Q7,3)="Ask",LEFT(Q7,7)="Minimum")</formula>
    </cfRule>
    <cfRule type="expression" priority="11" dxfId="7">
      <formula>OR(LEFT(Q7,5)="Worth",LEFT(Q7,2)="OK")</formula>
    </cfRule>
  </conditionalFormatting>
  <conditionalFormatting sqref="R7:R18">
    <cfRule type="cellIs" priority="10" operator="equal" dxfId="0">
      <formula>"Now"</formula>
    </cfRule>
  </conditionalFormatting>
  <dataValidations count="4">
    <dataValidation sqref="H7:H18" showDropDown="0" showInputMessage="0" showErrorMessage="0" allowBlank="1" type="list">
      <formula1>"Allowed, no fee,Allowed with a fee,Locked until a date,Not sure - ask lender"</formula1>
    </dataValidation>
    <dataValidation sqref="C7:C18" showDropDown="0" showInputMessage="0" showErrorMessage="0" allowBlank="1" type="list">
      <formula1>"Credit card,Store card,Personal loan,Car loan,Student loan,Mortgage,Buy now, pay later,Medical bill,Family / friend,Other"</formula1>
    </dataValidation>
    <dataValidation sqref="G7:G18" showDropDown="0" showInputMessage="0" showErrorMessage="0" allowBlank="1" type="list">
      <formula1>"Yes,No"</formula1>
    </dataValidation>
    <dataValidation sqref="M7:M18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A3F58"/>
    <outlinePr summaryBelow="1" summaryRight="1"/>
    <pageSetUpPr/>
  </sheetPr>
  <dimension ref="A1:Q36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4" customWidth="1" min="3" max="3"/>
    <col width="14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30" customHeight="1">
      <c r="A2" s="1" t="n"/>
      <c r="B2" s="2" t="inlineStr">
        <is>
          <t>Month by month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3" t="inlineStr">
        <is>
          <t>Your chosen order. Each column is one debt's balance at the end of the month.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 s="1" t="n"/>
      <c r="B4" s="1" t="n"/>
      <c r="C4" s="1" t="n"/>
      <c r="D4" s="1" t="n"/>
      <c r="E4" s="1" t="n"/>
      <c r="F4" s="62">
        <f>IF('My Debts'!$B$7="","",'My Debts'!$B$7)</f>
        <v/>
      </c>
      <c r="G4" s="63">
        <f>IF('My Debts'!$B$8="","",'My Debts'!$B$8)</f>
        <v/>
      </c>
      <c r="H4" s="63">
        <f>IF('My Debts'!$B$9="","",'My Debts'!$B$9)</f>
        <v/>
      </c>
      <c r="I4" s="63">
        <f>IF('My Debts'!$B$10="","",'My Debts'!$B$10)</f>
        <v/>
      </c>
      <c r="J4" s="63">
        <f>IF('My Debts'!$B$11="","",'My Debts'!$B$11)</f>
        <v/>
      </c>
      <c r="K4" s="63">
        <f>IF('My Debts'!$B$12="","",'My Debts'!$B$12)</f>
        <v/>
      </c>
      <c r="L4" s="63">
        <f>IF('My Debts'!$B$13="","",'My Debts'!$B$13)</f>
        <v/>
      </c>
      <c r="M4" s="63">
        <f>IF('My Debts'!$B$14="","",'My Debts'!$B$14)</f>
        <v/>
      </c>
      <c r="N4" s="63">
        <f>IF('My Debts'!$B$15="","",'My Debts'!$B$15)</f>
        <v/>
      </c>
      <c r="O4" s="63">
        <f>IF('My Debts'!$B$16="","",'My Debts'!$B$16)</f>
        <v/>
      </c>
      <c r="P4" s="63">
        <f>IF('My Debts'!$B$17="","",'My Debts'!$B$17)</f>
        <v/>
      </c>
      <c r="Q4" s="63">
        <f>IF('My Debts'!$B$18="","",'My Debts'!$B$18)</f>
        <v/>
      </c>
    </row>
    <row r="5" ht="30" customHeight="1">
      <c r="A5" s="1" t="n"/>
      <c r="B5" s="37" t="inlineStr">
        <is>
          <t>MONTH</t>
        </is>
      </c>
      <c r="C5" s="37" t="inlineStr">
        <is>
          <t>PAID THIS MONTH</t>
        </is>
      </c>
      <c r="D5" s="37" t="inlineStr">
        <is>
          <t>TOTAL LEFT</t>
        </is>
      </c>
      <c r="E5" s="37" t="inlineStr">
        <is>
          <t>DEBTS LEFT</t>
        </is>
      </c>
      <c r="F5" s="37" t="inlineStr">
        <is>
          <t>DEBT 1</t>
        </is>
      </c>
      <c r="G5" s="37" t="inlineStr">
        <is>
          <t>DEBT 2</t>
        </is>
      </c>
      <c r="H5" s="37" t="inlineStr">
        <is>
          <t>DEBT 3</t>
        </is>
      </c>
      <c r="I5" s="37" t="inlineStr">
        <is>
          <t>DEBT 4</t>
        </is>
      </c>
      <c r="J5" s="37" t="inlineStr">
        <is>
          <t>DEBT 5</t>
        </is>
      </c>
      <c r="K5" s="37" t="inlineStr">
        <is>
          <t>DEBT 6</t>
        </is>
      </c>
      <c r="L5" s="37" t="inlineStr">
        <is>
          <t>DEBT 7</t>
        </is>
      </c>
      <c r="M5" s="37" t="inlineStr">
        <is>
          <t>DEBT 8</t>
        </is>
      </c>
      <c r="N5" s="37" t="inlineStr">
        <is>
          <t>DEBT 9</t>
        </is>
      </c>
      <c r="O5" s="37" t="inlineStr">
        <is>
          <t>DEBT 10</t>
        </is>
      </c>
      <c r="P5" s="37" t="inlineStr">
        <is>
          <t>DEBT 11</t>
        </is>
      </c>
      <c r="Q5" s="37" t="inlineStr">
        <is>
          <t>DEBT 12</t>
        </is>
      </c>
    </row>
    <row r="6">
      <c r="A6" s="1" t="n"/>
      <c r="B6" s="64">
        <f>EDATE(Plan!$C$6,0)</f>
        <v/>
      </c>
      <c r="C6" s="31">
        <f>CHOOSE(Plan!$K$5,'Calc Smart'!AE12,'Calc Avalanche'!AE12,'Calc Snowball'!AE12,'Calc Cashflow'!AE12)</f>
        <v/>
      </c>
      <c r="D6" s="31">
        <f>CHOOSE(Plan!$K$5,'Calc Smart'!AD12,'Calc Avalanche'!AD12,'Calc Snowball'!AD12,'Calc Cashflow'!AD12)</f>
        <v/>
      </c>
      <c r="E6" s="40">
        <f>CHOOSE(Plan!$K$5,COUNTIF('Calc Smart'!C12:N12,"&gt;0"),COUNTIF('Calc Avalanche'!C12:N12,"&gt;0"),COUNTIF('Calc Snowball'!C12:N12,"&gt;0"),COUNTIF('Calc Cashflow'!C12:N12,"&gt;0"))</f>
        <v/>
      </c>
      <c r="F6" s="65">
        <f>CHOOSE(Plan!$K$5,'Calc Smart'!C12,'Calc Avalanche'!C12,'Calc Snowball'!C12,'Calc Cashflow'!C12)</f>
        <v/>
      </c>
      <c r="G6" s="65">
        <f>CHOOSE(Plan!$K$5,'Calc Smart'!D12,'Calc Avalanche'!D12,'Calc Snowball'!D12,'Calc Cashflow'!D12)</f>
        <v/>
      </c>
      <c r="H6" s="65">
        <f>CHOOSE(Plan!$K$5,'Calc Smart'!E12,'Calc Avalanche'!E12,'Calc Snowball'!E12,'Calc Cashflow'!E12)</f>
        <v/>
      </c>
      <c r="I6" s="65">
        <f>CHOOSE(Plan!$K$5,'Calc Smart'!F12,'Calc Avalanche'!F12,'Calc Snowball'!F12,'Calc Cashflow'!F12)</f>
        <v/>
      </c>
      <c r="J6" s="65">
        <f>CHOOSE(Plan!$K$5,'Calc Smart'!G12,'Calc Avalanche'!G12,'Calc Snowball'!G12,'Calc Cashflow'!G12)</f>
        <v/>
      </c>
      <c r="K6" s="65">
        <f>CHOOSE(Plan!$K$5,'Calc Smart'!H12,'Calc Avalanche'!H12,'Calc Snowball'!H12,'Calc Cashflow'!H12)</f>
        <v/>
      </c>
      <c r="L6" s="65">
        <f>CHOOSE(Plan!$K$5,'Calc Smart'!I12,'Calc Avalanche'!I12,'Calc Snowball'!I12,'Calc Cashflow'!I12)</f>
        <v/>
      </c>
      <c r="M6" s="65">
        <f>CHOOSE(Plan!$K$5,'Calc Smart'!J12,'Calc Avalanche'!J12,'Calc Snowball'!J12,'Calc Cashflow'!J12)</f>
        <v/>
      </c>
      <c r="N6" s="65">
        <f>CHOOSE(Plan!$K$5,'Calc Smart'!K12,'Calc Avalanche'!K12,'Calc Snowball'!K12,'Calc Cashflow'!K12)</f>
        <v/>
      </c>
      <c r="O6" s="65">
        <f>CHOOSE(Plan!$K$5,'Calc Smart'!L12,'Calc Avalanche'!L12,'Calc Snowball'!L12,'Calc Cashflow'!L12)</f>
        <v/>
      </c>
      <c r="P6" s="65">
        <f>CHOOSE(Plan!$K$5,'Calc Smart'!M12,'Calc Avalanche'!M12,'Calc Snowball'!M12,'Calc Cashflow'!M12)</f>
        <v/>
      </c>
      <c r="Q6" s="65">
        <f>CHOOSE(Plan!$K$5,'Calc Smart'!N12,'Calc Avalanche'!N12,'Calc Snowball'!N12,'Calc Cashflow'!N12)</f>
        <v/>
      </c>
    </row>
    <row r="7">
      <c r="A7" s="1" t="n"/>
      <c r="B7" s="66">
        <f>EDATE(Plan!$C$6,1)</f>
        <v/>
      </c>
      <c r="C7" s="32">
        <f>CHOOSE(Plan!$K$5,'Calc Smart'!AE13,'Calc Avalanche'!AE13,'Calc Snowball'!AE13,'Calc Cashflow'!AE13)</f>
        <v/>
      </c>
      <c r="D7" s="32">
        <f>CHOOSE(Plan!$K$5,'Calc Smart'!AD13,'Calc Avalanche'!AD13,'Calc Snowball'!AD13,'Calc Cashflow'!AD13)</f>
        <v/>
      </c>
      <c r="E7" s="43">
        <f>CHOOSE(Plan!$K$5,COUNTIF('Calc Smart'!C13:N13,"&gt;0"),COUNTIF('Calc Avalanche'!C13:N13,"&gt;0"),COUNTIF('Calc Snowball'!C13:N13,"&gt;0"),COUNTIF('Calc Cashflow'!C13:N13,"&gt;0"))</f>
        <v/>
      </c>
      <c r="F7" s="67">
        <f>CHOOSE(Plan!$K$5,'Calc Smart'!C13,'Calc Avalanche'!C13,'Calc Snowball'!C13,'Calc Cashflow'!C13)</f>
        <v/>
      </c>
      <c r="G7" s="67">
        <f>CHOOSE(Plan!$K$5,'Calc Smart'!D13,'Calc Avalanche'!D13,'Calc Snowball'!D13,'Calc Cashflow'!D13)</f>
        <v/>
      </c>
      <c r="H7" s="67">
        <f>CHOOSE(Plan!$K$5,'Calc Smart'!E13,'Calc Avalanche'!E13,'Calc Snowball'!E13,'Calc Cashflow'!E13)</f>
        <v/>
      </c>
      <c r="I7" s="67">
        <f>CHOOSE(Plan!$K$5,'Calc Smart'!F13,'Calc Avalanche'!F13,'Calc Snowball'!F13,'Calc Cashflow'!F13)</f>
        <v/>
      </c>
      <c r="J7" s="67">
        <f>CHOOSE(Plan!$K$5,'Calc Smart'!G13,'Calc Avalanche'!G13,'Calc Snowball'!G13,'Calc Cashflow'!G13)</f>
        <v/>
      </c>
      <c r="K7" s="67">
        <f>CHOOSE(Plan!$K$5,'Calc Smart'!H13,'Calc Avalanche'!H13,'Calc Snowball'!H13,'Calc Cashflow'!H13)</f>
        <v/>
      </c>
      <c r="L7" s="67">
        <f>CHOOSE(Plan!$K$5,'Calc Smart'!I13,'Calc Avalanche'!I13,'Calc Snowball'!I13,'Calc Cashflow'!I13)</f>
        <v/>
      </c>
      <c r="M7" s="67">
        <f>CHOOSE(Plan!$K$5,'Calc Smart'!J13,'Calc Avalanche'!J13,'Calc Snowball'!J13,'Calc Cashflow'!J13)</f>
        <v/>
      </c>
      <c r="N7" s="67">
        <f>CHOOSE(Plan!$K$5,'Calc Smart'!K13,'Calc Avalanche'!K13,'Calc Snowball'!K13,'Calc Cashflow'!K13)</f>
        <v/>
      </c>
      <c r="O7" s="67">
        <f>CHOOSE(Plan!$K$5,'Calc Smart'!L13,'Calc Avalanche'!L13,'Calc Snowball'!L13,'Calc Cashflow'!L13)</f>
        <v/>
      </c>
      <c r="P7" s="67">
        <f>CHOOSE(Plan!$K$5,'Calc Smart'!M13,'Calc Avalanche'!M13,'Calc Snowball'!M13,'Calc Cashflow'!M13)</f>
        <v/>
      </c>
      <c r="Q7" s="67">
        <f>CHOOSE(Plan!$K$5,'Calc Smart'!N13,'Calc Avalanche'!N13,'Calc Snowball'!N13,'Calc Cashflow'!N13)</f>
        <v/>
      </c>
    </row>
    <row r="8">
      <c r="A8" s="1" t="n"/>
      <c r="B8" s="64">
        <f>EDATE(Plan!$C$6,2)</f>
        <v/>
      </c>
      <c r="C8" s="31">
        <f>CHOOSE(Plan!$K$5,'Calc Smart'!AE14,'Calc Avalanche'!AE14,'Calc Snowball'!AE14,'Calc Cashflow'!AE14)</f>
        <v/>
      </c>
      <c r="D8" s="31">
        <f>CHOOSE(Plan!$K$5,'Calc Smart'!AD14,'Calc Avalanche'!AD14,'Calc Snowball'!AD14,'Calc Cashflow'!AD14)</f>
        <v/>
      </c>
      <c r="E8" s="40">
        <f>CHOOSE(Plan!$K$5,COUNTIF('Calc Smart'!C14:N14,"&gt;0"),COUNTIF('Calc Avalanche'!C14:N14,"&gt;0"),COUNTIF('Calc Snowball'!C14:N14,"&gt;0"),COUNTIF('Calc Cashflow'!C14:N14,"&gt;0"))</f>
        <v/>
      </c>
      <c r="F8" s="65">
        <f>CHOOSE(Plan!$K$5,'Calc Smart'!C14,'Calc Avalanche'!C14,'Calc Snowball'!C14,'Calc Cashflow'!C14)</f>
        <v/>
      </c>
      <c r="G8" s="65">
        <f>CHOOSE(Plan!$K$5,'Calc Smart'!D14,'Calc Avalanche'!D14,'Calc Snowball'!D14,'Calc Cashflow'!D14)</f>
        <v/>
      </c>
      <c r="H8" s="65">
        <f>CHOOSE(Plan!$K$5,'Calc Smart'!E14,'Calc Avalanche'!E14,'Calc Snowball'!E14,'Calc Cashflow'!E14)</f>
        <v/>
      </c>
      <c r="I8" s="65">
        <f>CHOOSE(Plan!$K$5,'Calc Smart'!F14,'Calc Avalanche'!F14,'Calc Snowball'!F14,'Calc Cashflow'!F14)</f>
        <v/>
      </c>
      <c r="J8" s="65">
        <f>CHOOSE(Plan!$K$5,'Calc Smart'!G14,'Calc Avalanche'!G14,'Calc Snowball'!G14,'Calc Cashflow'!G14)</f>
        <v/>
      </c>
      <c r="K8" s="65">
        <f>CHOOSE(Plan!$K$5,'Calc Smart'!H14,'Calc Avalanche'!H14,'Calc Snowball'!H14,'Calc Cashflow'!H14)</f>
        <v/>
      </c>
      <c r="L8" s="65">
        <f>CHOOSE(Plan!$K$5,'Calc Smart'!I14,'Calc Avalanche'!I14,'Calc Snowball'!I14,'Calc Cashflow'!I14)</f>
        <v/>
      </c>
      <c r="M8" s="65">
        <f>CHOOSE(Plan!$K$5,'Calc Smart'!J14,'Calc Avalanche'!J14,'Calc Snowball'!J14,'Calc Cashflow'!J14)</f>
        <v/>
      </c>
      <c r="N8" s="65">
        <f>CHOOSE(Plan!$K$5,'Calc Smart'!K14,'Calc Avalanche'!K14,'Calc Snowball'!K14,'Calc Cashflow'!K14)</f>
        <v/>
      </c>
      <c r="O8" s="65">
        <f>CHOOSE(Plan!$K$5,'Calc Smart'!L14,'Calc Avalanche'!L14,'Calc Snowball'!L14,'Calc Cashflow'!L14)</f>
        <v/>
      </c>
      <c r="P8" s="65">
        <f>CHOOSE(Plan!$K$5,'Calc Smart'!M14,'Calc Avalanche'!M14,'Calc Snowball'!M14,'Calc Cashflow'!M14)</f>
        <v/>
      </c>
      <c r="Q8" s="65">
        <f>CHOOSE(Plan!$K$5,'Calc Smart'!N14,'Calc Avalanche'!N14,'Calc Snowball'!N14,'Calc Cashflow'!N14)</f>
        <v/>
      </c>
    </row>
    <row r="9">
      <c r="B9" s="66">
        <f>EDATE(Plan!$C$6,3)</f>
        <v/>
      </c>
      <c r="C9" s="32">
        <f>CHOOSE(Plan!$K$5,'Calc Smart'!AE15,'Calc Avalanche'!AE15,'Calc Snowball'!AE15,'Calc Cashflow'!AE15)</f>
        <v/>
      </c>
      <c r="D9" s="32">
        <f>CHOOSE(Plan!$K$5,'Calc Smart'!AD15,'Calc Avalanche'!AD15,'Calc Snowball'!AD15,'Calc Cashflow'!AD15)</f>
        <v/>
      </c>
      <c r="E9" s="43">
        <f>CHOOSE(Plan!$K$5,COUNTIF('Calc Smart'!C15:N15,"&gt;0"),COUNTIF('Calc Avalanche'!C15:N15,"&gt;0"),COUNTIF('Calc Snowball'!C15:N15,"&gt;0"),COUNTIF('Calc Cashflow'!C15:N15,"&gt;0"))</f>
        <v/>
      </c>
      <c r="F9" s="67">
        <f>CHOOSE(Plan!$K$5,'Calc Smart'!C15,'Calc Avalanche'!C15,'Calc Snowball'!C15,'Calc Cashflow'!C15)</f>
        <v/>
      </c>
      <c r="G9" s="67">
        <f>CHOOSE(Plan!$K$5,'Calc Smart'!D15,'Calc Avalanche'!D15,'Calc Snowball'!D15,'Calc Cashflow'!D15)</f>
        <v/>
      </c>
      <c r="H9" s="67">
        <f>CHOOSE(Plan!$K$5,'Calc Smart'!E15,'Calc Avalanche'!E15,'Calc Snowball'!E15,'Calc Cashflow'!E15)</f>
        <v/>
      </c>
      <c r="I9" s="67">
        <f>CHOOSE(Plan!$K$5,'Calc Smart'!F15,'Calc Avalanche'!F15,'Calc Snowball'!F15,'Calc Cashflow'!F15)</f>
        <v/>
      </c>
      <c r="J9" s="67">
        <f>CHOOSE(Plan!$K$5,'Calc Smart'!G15,'Calc Avalanche'!G15,'Calc Snowball'!G15,'Calc Cashflow'!G15)</f>
        <v/>
      </c>
      <c r="K9" s="67">
        <f>CHOOSE(Plan!$K$5,'Calc Smart'!H15,'Calc Avalanche'!H15,'Calc Snowball'!H15,'Calc Cashflow'!H15)</f>
        <v/>
      </c>
      <c r="L9" s="67">
        <f>CHOOSE(Plan!$K$5,'Calc Smart'!I15,'Calc Avalanche'!I15,'Calc Snowball'!I15,'Calc Cashflow'!I15)</f>
        <v/>
      </c>
      <c r="M9" s="67">
        <f>CHOOSE(Plan!$K$5,'Calc Smart'!J15,'Calc Avalanche'!J15,'Calc Snowball'!J15,'Calc Cashflow'!J15)</f>
        <v/>
      </c>
      <c r="N9" s="67">
        <f>CHOOSE(Plan!$K$5,'Calc Smart'!K15,'Calc Avalanche'!K15,'Calc Snowball'!K15,'Calc Cashflow'!K15)</f>
        <v/>
      </c>
      <c r="O9" s="67">
        <f>CHOOSE(Plan!$K$5,'Calc Smart'!L15,'Calc Avalanche'!L15,'Calc Snowball'!L15,'Calc Cashflow'!L15)</f>
        <v/>
      </c>
      <c r="P9" s="67">
        <f>CHOOSE(Plan!$K$5,'Calc Smart'!M15,'Calc Avalanche'!M15,'Calc Snowball'!M15,'Calc Cashflow'!M15)</f>
        <v/>
      </c>
      <c r="Q9" s="67">
        <f>CHOOSE(Plan!$K$5,'Calc Smart'!N15,'Calc Avalanche'!N15,'Calc Snowball'!N15,'Calc Cashflow'!N15)</f>
        <v/>
      </c>
    </row>
    <row r="10">
      <c r="B10" s="64">
        <f>EDATE(Plan!$C$6,4)</f>
        <v/>
      </c>
      <c r="C10" s="31">
        <f>CHOOSE(Plan!$K$5,'Calc Smart'!AE16,'Calc Avalanche'!AE16,'Calc Snowball'!AE16,'Calc Cashflow'!AE16)</f>
        <v/>
      </c>
      <c r="D10" s="31">
        <f>CHOOSE(Plan!$K$5,'Calc Smart'!AD16,'Calc Avalanche'!AD16,'Calc Snowball'!AD16,'Calc Cashflow'!AD16)</f>
        <v/>
      </c>
      <c r="E10" s="40">
        <f>CHOOSE(Plan!$K$5,COUNTIF('Calc Smart'!C16:N16,"&gt;0"),COUNTIF('Calc Avalanche'!C16:N16,"&gt;0"),COUNTIF('Calc Snowball'!C16:N16,"&gt;0"),COUNTIF('Calc Cashflow'!C16:N16,"&gt;0"))</f>
        <v/>
      </c>
      <c r="F10" s="65">
        <f>CHOOSE(Plan!$K$5,'Calc Smart'!C16,'Calc Avalanche'!C16,'Calc Snowball'!C16,'Calc Cashflow'!C16)</f>
        <v/>
      </c>
      <c r="G10" s="65">
        <f>CHOOSE(Plan!$K$5,'Calc Smart'!D16,'Calc Avalanche'!D16,'Calc Snowball'!D16,'Calc Cashflow'!D16)</f>
        <v/>
      </c>
      <c r="H10" s="65">
        <f>CHOOSE(Plan!$K$5,'Calc Smart'!E16,'Calc Avalanche'!E16,'Calc Snowball'!E16,'Calc Cashflow'!E16)</f>
        <v/>
      </c>
      <c r="I10" s="65">
        <f>CHOOSE(Plan!$K$5,'Calc Smart'!F16,'Calc Avalanche'!F16,'Calc Snowball'!F16,'Calc Cashflow'!F16)</f>
        <v/>
      </c>
      <c r="J10" s="65">
        <f>CHOOSE(Plan!$K$5,'Calc Smart'!G16,'Calc Avalanche'!G16,'Calc Snowball'!G16,'Calc Cashflow'!G16)</f>
        <v/>
      </c>
      <c r="K10" s="65">
        <f>CHOOSE(Plan!$K$5,'Calc Smart'!H16,'Calc Avalanche'!H16,'Calc Snowball'!H16,'Calc Cashflow'!H16)</f>
        <v/>
      </c>
      <c r="L10" s="65">
        <f>CHOOSE(Plan!$K$5,'Calc Smart'!I16,'Calc Avalanche'!I16,'Calc Snowball'!I16,'Calc Cashflow'!I16)</f>
        <v/>
      </c>
      <c r="M10" s="65">
        <f>CHOOSE(Plan!$K$5,'Calc Smart'!J16,'Calc Avalanche'!J16,'Calc Snowball'!J16,'Calc Cashflow'!J16)</f>
        <v/>
      </c>
      <c r="N10" s="65">
        <f>CHOOSE(Plan!$K$5,'Calc Smart'!K16,'Calc Avalanche'!K16,'Calc Snowball'!K16,'Calc Cashflow'!K16)</f>
        <v/>
      </c>
      <c r="O10" s="65">
        <f>CHOOSE(Plan!$K$5,'Calc Smart'!L16,'Calc Avalanche'!L16,'Calc Snowball'!L16,'Calc Cashflow'!L16)</f>
        <v/>
      </c>
      <c r="P10" s="65">
        <f>CHOOSE(Plan!$K$5,'Calc Smart'!M16,'Calc Avalanche'!M16,'Calc Snowball'!M16,'Calc Cashflow'!M16)</f>
        <v/>
      </c>
      <c r="Q10" s="65">
        <f>CHOOSE(Plan!$K$5,'Calc Smart'!N16,'Calc Avalanche'!N16,'Calc Snowball'!N16,'Calc Cashflow'!N16)</f>
        <v/>
      </c>
    </row>
    <row r="11">
      <c r="B11" s="66">
        <f>EDATE(Plan!$C$6,5)</f>
        <v/>
      </c>
      <c r="C11" s="32">
        <f>CHOOSE(Plan!$K$5,'Calc Smart'!AE17,'Calc Avalanche'!AE17,'Calc Snowball'!AE17,'Calc Cashflow'!AE17)</f>
        <v/>
      </c>
      <c r="D11" s="32">
        <f>CHOOSE(Plan!$K$5,'Calc Smart'!AD17,'Calc Avalanche'!AD17,'Calc Snowball'!AD17,'Calc Cashflow'!AD17)</f>
        <v/>
      </c>
      <c r="E11" s="43">
        <f>CHOOSE(Plan!$K$5,COUNTIF('Calc Smart'!C17:N17,"&gt;0"),COUNTIF('Calc Avalanche'!C17:N17,"&gt;0"),COUNTIF('Calc Snowball'!C17:N17,"&gt;0"),COUNTIF('Calc Cashflow'!C17:N17,"&gt;0"))</f>
        <v/>
      </c>
      <c r="F11" s="67">
        <f>CHOOSE(Plan!$K$5,'Calc Smart'!C17,'Calc Avalanche'!C17,'Calc Snowball'!C17,'Calc Cashflow'!C17)</f>
        <v/>
      </c>
      <c r="G11" s="67">
        <f>CHOOSE(Plan!$K$5,'Calc Smart'!D17,'Calc Avalanche'!D17,'Calc Snowball'!D17,'Calc Cashflow'!D17)</f>
        <v/>
      </c>
      <c r="H11" s="67">
        <f>CHOOSE(Plan!$K$5,'Calc Smart'!E17,'Calc Avalanche'!E17,'Calc Snowball'!E17,'Calc Cashflow'!E17)</f>
        <v/>
      </c>
      <c r="I11" s="67">
        <f>CHOOSE(Plan!$K$5,'Calc Smart'!F17,'Calc Avalanche'!F17,'Calc Snowball'!F17,'Calc Cashflow'!F17)</f>
        <v/>
      </c>
      <c r="J11" s="67">
        <f>CHOOSE(Plan!$K$5,'Calc Smart'!G17,'Calc Avalanche'!G17,'Calc Snowball'!G17,'Calc Cashflow'!G17)</f>
        <v/>
      </c>
      <c r="K11" s="67">
        <f>CHOOSE(Plan!$K$5,'Calc Smart'!H17,'Calc Avalanche'!H17,'Calc Snowball'!H17,'Calc Cashflow'!H17)</f>
        <v/>
      </c>
      <c r="L11" s="67">
        <f>CHOOSE(Plan!$K$5,'Calc Smart'!I17,'Calc Avalanche'!I17,'Calc Snowball'!I17,'Calc Cashflow'!I17)</f>
        <v/>
      </c>
      <c r="M11" s="67">
        <f>CHOOSE(Plan!$K$5,'Calc Smart'!J17,'Calc Avalanche'!J17,'Calc Snowball'!J17,'Calc Cashflow'!J17)</f>
        <v/>
      </c>
      <c r="N11" s="67">
        <f>CHOOSE(Plan!$K$5,'Calc Smart'!K17,'Calc Avalanche'!K17,'Calc Snowball'!K17,'Calc Cashflow'!K17)</f>
        <v/>
      </c>
      <c r="O11" s="67">
        <f>CHOOSE(Plan!$K$5,'Calc Smart'!L17,'Calc Avalanche'!L17,'Calc Snowball'!L17,'Calc Cashflow'!L17)</f>
        <v/>
      </c>
      <c r="P11" s="67">
        <f>CHOOSE(Plan!$K$5,'Calc Smart'!M17,'Calc Avalanche'!M17,'Calc Snowball'!M17,'Calc Cashflow'!M17)</f>
        <v/>
      </c>
      <c r="Q11" s="67">
        <f>CHOOSE(Plan!$K$5,'Calc Smart'!N17,'Calc Avalanche'!N17,'Calc Snowball'!N17,'Calc Cashflow'!N17)</f>
        <v/>
      </c>
    </row>
    <row r="12">
      <c r="B12" s="64">
        <f>EDATE(Plan!$C$6,6)</f>
        <v/>
      </c>
      <c r="C12" s="31">
        <f>CHOOSE(Plan!$K$5,'Calc Smart'!AE18,'Calc Avalanche'!AE18,'Calc Snowball'!AE18,'Calc Cashflow'!AE18)</f>
        <v/>
      </c>
      <c r="D12" s="31">
        <f>CHOOSE(Plan!$K$5,'Calc Smart'!AD18,'Calc Avalanche'!AD18,'Calc Snowball'!AD18,'Calc Cashflow'!AD18)</f>
        <v/>
      </c>
      <c r="E12" s="40">
        <f>CHOOSE(Plan!$K$5,COUNTIF('Calc Smart'!C18:N18,"&gt;0"),COUNTIF('Calc Avalanche'!C18:N18,"&gt;0"),COUNTIF('Calc Snowball'!C18:N18,"&gt;0"),COUNTIF('Calc Cashflow'!C18:N18,"&gt;0"))</f>
        <v/>
      </c>
      <c r="F12" s="65">
        <f>CHOOSE(Plan!$K$5,'Calc Smart'!C18,'Calc Avalanche'!C18,'Calc Snowball'!C18,'Calc Cashflow'!C18)</f>
        <v/>
      </c>
      <c r="G12" s="65">
        <f>CHOOSE(Plan!$K$5,'Calc Smart'!D18,'Calc Avalanche'!D18,'Calc Snowball'!D18,'Calc Cashflow'!D18)</f>
        <v/>
      </c>
      <c r="H12" s="65">
        <f>CHOOSE(Plan!$K$5,'Calc Smart'!E18,'Calc Avalanche'!E18,'Calc Snowball'!E18,'Calc Cashflow'!E18)</f>
        <v/>
      </c>
      <c r="I12" s="65">
        <f>CHOOSE(Plan!$K$5,'Calc Smart'!F18,'Calc Avalanche'!F18,'Calc Snowball'!F18,'Calc Cashflow'!F18)</f>
        <v/>
      </c>
      <c r="J12" s="65">
        <f>CHOOSE(Plan!$K$5,'Calc Smart'!G18,'Calc Avalanche'!G18,'Calc Snowball'!G18,'Calc Cashflow'!G18)</f>
        <v/>
      </c>
      <c r="K12" s="65">
        <f>CHOOSE(Plan!$K$5,'Calc Smart'!H18,'Calc Avalanche'!H18,'Calc Snowball'!H18,'Calc Cashflow'!H18)</f>
        <v/>
      </c>
      <c r="L12" s="65">
        <f>CHOOSE(Plan!$K$5,'Calc Smart'!I18,'Calc Avalanche'!I18,'Calc Snowball'!I18,'Calc Cashflow'!I18)</f>
        <v/>
      </c>
      <c r="M12" s="65">
        <f>CHOOSE(Plan!$K$5,'Calc Smart'!J18,'Calc Avalanche'!J18,'Calc Snowball'!J18,'Calc Cashflow'!J18)</f>
        <v/>
      </c>
      <c r="N12" s="65">
        <f>CHOOSE(Plan!$K$5,'Calc Smart'!K18,'Calc Avalanche'!K18,'Calc Snowball'!K18,'Calc Cashflow'!K18)</f>
        <v/>
      </c>
      <c r="O12" s="65">
        <f>CHOOSE(Plan!$K$5,'Calc Smart'!L18,'Calc Avalanche'!L18,'Calc Snowball'!L18,'Calc Cashflow'!L18)</f>
        <v/>
      </c>
      <c r="P12" s="65">
        <f>CHOOSE(Plan!$K$5,'Calc Smart'!M18,'Calc Avalanche'!M18,'Calc Snowball'!M18,'Calc Cashflow'!M18)</f>
        <v/>
      </c>
      <c r="Q12" s="65">
        <f>CHOOSE(Plan!$K$5,'Calc Smart'!N18,'Calc Avalanche'!N18,'Calc Snowball'!N18,'Calc Cashflow'!N18)</f>
        <v/>
      </c>
    </row>
    <row r="13">
      <c r="B13" s="66">
        <f>EDATE(Plan!$C$6,7)</f>
        <v/>
      </c>
      <c r="C13" s="32">
        <f>CHOOSE(Plan!$K$5,'Calc Smart'!AE19,'Calc Avalanche'!AE19,'Calc Snowball'!AE19,'Calc Cashflow'!AE19)</f>
        <v/>
      </c>
      <c r="D13" s="32">
        <f>CHOOSE(Plan!$K$5,'Calc Smart'!AD19,'Calc Avalanche'!AD19,'Calc Snowball'!AD19,'Calc Cashflow'!AD19)</f>
        <v/>
      </c>
      <c r="E13" s="43">
        <f>CHOOSE(Plan!$K$5,COUNTIF('Calc Smart'!C19:N19,"&gt;0"),COUNTIF('Calc Avalanche'!C19:N19,"&gt;0"),COUNTIF('Calc Snowball'!C19:N19,"&gt;0"),COUNTIF('Calc Cashflow'!C19:N19,"&gt;0"))</f>
        <v/>
      </c>
      <c r="F13" s="67">
        <f>CHOOSE(Plan!$K$5,'Calc Smart'!C19,'Calc Avalanche'!C19,'Calc Snowball'!C19,'Calc Cashflow'!C19)</f>
        <v/>
      </c>
      <c r="G13" s="67">
        <f>CHOOSE(Plan!$K$5,'Calc Smart'!D19,'Calc Avalanche'!D19,'Calc Snowball'!D19,'Calc Cashflow'!D19)</f>
        <v/>
      </c>
      <c r="H13" s="67">
        <f>CHOOSE(Plan!$K$5,'Calc Smart'!E19,'Calc Avalanche'!E19,'Calc Snowball'!E19,'Calc Cashflow'!E19)</f>
        <v/>
      </c>
      <c r="I13" s="67">
        <f>CHOOSE(Plan!$K$5,'Calc Smart'!F19,'Calc Avalanche'!F19,'Calc Snowball'!F19,'Calc Cashflow'!F19)</f>
        <v/>
      </c>
      <c r="J13" s="67">
        <f>CHOOSE(Plan!$K$5,'Calc Smart'!G19,'Calc Avalanche'!G19,'Calc Snowball'!G19,'Calc Cashflow'!G19)</f>
        <v/>
      </c>
      <c r="K13" s="67">
        <f>CHOOSE(Plan!$K$5,'Calc Smart'!H19,'Calc Avalanche'!H19,'Calc Snowball'!H19,'Calc Cashflow'!H19)</f>
        <v/>
      </c>
      <c r="L13" s="67">
        <f>CHOOSE(Plan!$K$5,'Calc Smart'!I19,'Calc Avalanche'!I19,'Calc Snowball'!I19,'Calc Cashflow'!I19)</f>
        <v/>
      </c>
      <c r="M13" s="67">
        <f>CHOOSE(Plan!$K$5,'Calc Smart'!J19,'Calc Avalanche'!J19,'Calc Snowball'!J19,'Calc Cashflow'!J19)</f>
        <v/>
      </c>
      <c r="N13" s="67">
        <f>CHOOSE(Plan!$K$5,'Calc Smart'!K19,'Calc Avalanche'!K19,'Calc Snowball'!K19,'Calc Cashflow'!K19)</f>
        <v/>
      </c>
      <c r="O13" s="67">
        <f>CHOOSE(Plan!$K$5,'Calc Smart'!L19,'Calc Avalanche'!L19,'Calc Snowball'!L19,'Calc Cashflow'!L19)</f>
        <v/>
      </c>
      <c r="P13" s="67">
        <f>CHOOSE(Plan!$K$5,'Calc Smart'!M19,'Calc Avalanche'!M19,'Calc Snowball'!M19,'Calc Cashflow'!M19)</f>
        <v/>
      </c>
      <c r="Q13" s="67">
        <f>CHOOSE(Plan!$K$5,'Calc Smart'!N19,'Calc Avalanche'!N19,'Calc Snowball'!N19,'Calc Cashflow'!N19)</f>
        <v/>
      </c>
    </row>
    <row r="14">
      <c r="B14" s="64">
        <f>EDATE(Plan!$C$6,8)</f>
        <v/>
      </c>
      <c r="C14" s="31">
        <f>CHOOSE(Plan!$K$5,'Calc Smart'!AE20,'Calc Avalanche'!AE20,'Calc Snowball'!AE20,'Calc Cashflow'!AE20)</f>
        <v/>
      </c>
      <c r="D14" s="31">
        <f>CHOOSE(Plan!$K$5,'Calc Smart'!AD20,'Calc Avalanche'!AD20,'Calc Snowball'!AD20,'Calc Cashflow'!AD20)</f>
        <v/>
      </c>
      <c r="E14" s="40">
        <f>CHOOSE(Plan!$K$5,COUNTIF('Calc Smart'!C20:N20,"&gt;0"),COUNTIF('Calc Avalanche'!C20:N20,"&gt;0"),COUNTIF('Calc Snowball'!C20:N20,"&gt;0"),COUNTIF('Calc Cashflow'!C20:N20,"&gt;0"))</f>
        <v/>
      </c>
      <c r="F14" s="65">
        <f>CHOOSE(Plan!$K$5,'Calc Smart'!C20,'Calc Avalanche'!C20,'Calc Snowball'!C20,'Calc Cashflow'!C20)</f>
        <v/>
      </c>
      <c r="G14" s="65">
        <f>CHOOSE(Plan!$K$5,'Calc Smart'!D20,'Calc Avalanche'!D20,'Calc Snowball'!D20,'Calc Cashflow'!D20)</f>
        <v/>
      </c>
      <c r="H14" s="65">
        <f>CHOOSE(Plan!$K$5,'Calc Smart'!E20,'Calc Avalanche'!E20,'Calc Snowball'!E20,'Calc Cashflow'!E20)</f>
        <v/>
      </c>
      <c r="I14" s="65">
        <f>CHOOSE(Plan!$K$5,'Calc Smart'!F20,'Calc Avalanche'!F20,'Calc Snowball'!F20,'Calc Cashflow'!F20)</f>
        <v/>
      </c>
      <c r="J14" s="65">
        <f>CHOOSE(Plan!$K$5,'Calc Smart'!G20,'Calc Avalanche'!G20,'Calc Snowball'!G20,'Calc Cashflow'!G20)</f>
        <v/>
      </c>
      <c r="K14" s="65">
        <f>CHOOSE(Plan!$K$5,'Calc Smart'!H20,'Calc Avalanche'!H20,'Calc Snowball'!H20,'Calc Cashflow'!H20)</f>
        <v/>
      </c>
      <c r="L14" s="65">
        <f>CHOOSE(Plan!$K$5,'Calc Smart'!I20,'Calc Avalanche'!I20,'Calc Snowball'!I20,'Calc Cashflow'!I20)</f>
        <v/>
      </c>
      <c r="M14" s="65">
        <f>CHOOSE(Plan!$K$5,'Calc Smart'!J20,'Calc Avalanche'!J20,'Calc Snowball'!J20,'Calc Cashflow'!J20)</f>
        <v/>
      </c>
      <c r="N14" s="65">
        <f>CHOOSE(Plan!$K$5,'Calc Smart'!K20,'Calc Avalanche'!K20,'Calc Snowball'!K20,'Calc Cashflow'!K20)</f>
        <v/>
      </c>
      <c r="O14" s="65">
        <f>CHOOSE(Plan!$K$5,'Calc Smart'!L20,'Calc Avalanche'!L20,'Calc Snowball'!L20,'Calc Cashflow'!L20)</f>
        <v/>
      </c>
      <c r="P14" s="65">
        <f>CHOOSE(Plan!$K$5,'Calc Smart'!M20,'Calc Avalanche'!M20,'Calc Snowball'!M20,'Calc Cashflow'!M20)</f>
        <v/>
      </c>
      <c r="Q14" s="65">
        <f>CHOOSE(Plan!$K$5,'Calc Smart'!N20,'Calc Avalanche'!N20,'Calc Snowball'!N20,'Calc Cashflow'!N20)</f>
        <v/>
      </c>
    </row>
    <row r="15">
      <c r="B15" s="66">
        <f>EDATE(Plan!$C$6,9)</f>
        <v/>
      </c>
      <c r="C15" s="32">
        <f>CHOOSE(Plan!$K$5,'Calc Smart'!AE21,'Calc Avalanche'!AE21,'Calc Snowball'!AE21,'Calc Cashflow'!AE21)</f>
        <v/>
      </c>
      <c r="D15" s="32">
        <f>CHOOSE(Plan!$K$5,'Calc Smart'!AD21,'Calc Avalanche'!AD21,'Calc Snowball'!AD21,'Calc Cashflow'!AD21)</f>
        <v/>
      </c>
      <c r="E15" s="43">
        <f>CHOOSE(Plan!$K$5,COUNTIF('Calc Smart'!C21:N21,"&gt;0"),COUNTIF('Calc Avalanche'!C21:N21,"&gt;0"),COUNTIF('Calc Snowball'!C21:N21,"&gt;0"),COUNTIF('Calc Cashflow'!C21:N21,"&gt;0"))</f>
        <v/>
      </c>
      <c r="F15" s="67">
        <f>CHOOSE(Plan!$K$5,'Calc Smart'!C21,'Calc Avalanche'!C21,'Calc Snowball'!C21,'Calc Cashflow'!C21)</f>
        <v/>
      </c>
      <c r="G15" s="67">
        <f>CHOOSE(Plan!$K$5,'Calc Smart'!D21,'Calc Avalanche'!D21,'Calc Snowball'!D21,'Calc Cashflow'!D21)</f>
        <v/>
      </c>
      <c r="H15" s="67">
        <f>CHOOSE(Plan!$K$5,'Calc Smart'!E21,'Calc Avalanche'!E21,'Calc Snowball'!E21,'Calc Cashflow'!E21)</f>
        <v/>
      </c>
      <c r="I15" s="67">
        <f>CHOOSE(Plan!$K$5,'Calc Smart'!F21,'Calc Avalanche'!F21,'Calc Snowball'!F21,'Calc Cashflow'!F21)</f>
        <v/>
      </c>
      <c r="J15" s="67">
        <f>CHOOSE(Plan!$K$5,'Calc Smart'!G21,'Calc Avalanche'!G21,'Calc Snowball'!G21,'Calc Cashflow'!G21)</f>
        <v/>
      </c>
      <c r="K15" s="67">
        <f>CHOOSE(Plan!$K$5,'Calc Smart'!H21,'Calc Avalanche'!H21,'Calc Snowball'!H21,'Calc Cashflow'!H21)</f>
        <v/>
      </c>
      <c r="L15" s="67">
        <f>CHOOSE(Plan!$K$5,'Calc Smart'!I21,'Calc Avalanche'!I21,'Calc Snowball'!I21,'Calc Cashflow'!I21)</f>
        <v/>
      </c>
      <c r="M15" s="67">
        <f>CHOOSE(Plan!$K$5,'Calc Smart'!J21,'Calc Avalanche'!J21,'Calc Snowball'!J21,'Calc Cashflow'!J21)</f>
        <v/>
      </c>
      <c r="N15" s="67">
        <f>CHOOSE(Plan!$K$5,'Calc Smart'!K21,'Calc Avalanche'!K21,'Calc Snowball'!K21,'Calc Cashflow'!K21)</f>
        <v/>
      </c>
      <c r="O15" s="67">
        <f>CHOOSE(Plan!$K$5,'Calc Smart'!L21,'Calc Avalanche'!L21,'Calc Snowball'!L21,'Calc Cashflow'!L21)</f>
        <v/>
      </c>
      <c r="P15" s="67">
        <f>CHOOSE(Plan!$K$5,'Calc Smart'!M21,'Calc Avalanche'!M21,'Calc Snowball'!M21,'Calc Cashflow'!M21)</f>
        <v/>
      </c>
      <c r="Q15" s="67">
        <f>CHOOSE(Plan!$K$5,'Calc Smart'!N21,'Calc Avalanche'!N21,'Calc Snowball'!N21,'Calc Cashflow'!N21)</f>
        <v/>
      </c>
    </row>
    <row r="16">
      <c r="B16" s="64">
        <f>EDATE(Plan!$C$6,10)</f>
        <v/>
      </c>
      <c r="C16" s="31">
        <f>CHOOSE(Plan!$K$5,'Calc Smart'!AE22,'Calc Avalanche'!AE22,'Calc Snowball'!AE22,'Calc Cashflow'!AE22)</f>
        <v/>
      </c>
      <c r="D16" s="31">
        <f>CHOOSE(Plan!$K$5,'Calc Smart'!AD22,'Calc Avalanche'!AD22,'Calc Snowball'!AD22,'Calc Cashflow'!AD22)</f>
        <v/>
      </c>
      <c r="E16" s="40">
        <f>CHOOSE(Plan!$K$5,COUNTIF('Calc Smart'!C22:N22,"&gt;0"),COUNTIF('Calc Avalanche'!C22:N22,"&gt;0"),COUNTIF('Calc Snowball'!C22:N22,"&gt;0"),COUNTIF('Calc Cashflow'!C22:N22,"&gt;0"))</f>
        <v/>
      </c>
      <c r="F16" s="65">
        <f>CHOOSE(Plan!$K$5,'Calc Smart'!C22,'Calc Avalanche'!C22,'Calc Snowball'!C22,'Calc Cashflow'!C22)</f>
        <v/>
      </c>
      <c r="G16" s="65">
        <f>CHOOSE(Plan!$K$5,'Calc Smart'!D22,'Calc Avalanche'!D22,'Calc Snowball'!D22,'Calc Cashflow'!D22)</f>
        <v/>
      </c>
      <c r="H16" s="65">
        <f>CHOOSE(Plan!$K$5,'Calc Smart'!E22,'Calc Avalanche'!E22,'Calc Snowball'!E22,'Calc Cashflow'!E22)</f>
        <v/>
      </c>
      <c r="I16" s="65">
        <f>CHOOSE(Plan!$K$5,'Calc Smart'!F22,'Calc Avalanche'!F22,'Calc Snowball'!F22,'Calc Cashflow'!F22)</f>
        <v/>
      </c>
      <c r="J16" s="65">
        <f>CHOOSE(Plan!$K$5,'Calc Smart'!G22,'Calc Avalanche'!G22,'Calc Snowball'!G22,'Calc Cashflow'!G22)</f>
        <v/>
      </c>
      <c r="K16" s="65">
        <f>CHOOSE(Plan!$K$5,'Calc Smart'!H22,'Calc Avalanche'!H22,'Calc Snowball'!H22,'Calc Cashflow'!H22)</f>
        <v/>
      </c>
      <c r="L16" s="65">
        <f>CHOOSE(Plan!$K$5,'Calc Smart'!I22,'Calc Avalanche'!I22,'Calc Snowball'!I22,'Calc Cashflow'!I22)</f>
        <v/>
      </c>
      <c r="M16" s="65">
        <f>CHOOSE(Plan!$K$5,'Calc Smart'!J22,'Calc Avalanche'!J22,'Calc Snowball'!J22,'Calc Cashflow'!J22)</f>
        <v/>
      </c>
      <c r="N16" s="65">
        <f>CHOOSE(Plan!$K$5,'Calc Smart'!K22,'Calc Avalanche'!K22,'Calc Snowball'!K22,'Calc Cashflow'!K22)</f>
        <v/>
      </c>
      <c r="O16" s="65">
        <f>CHOOSE(Plan!$K$5,'Calc Smart'!L22,'Calc Avalanche'!L22,'Calc Snowball'!L22,'Calc Cashflow'!L22)</f>
        <v/>
      </c>
      <c r="P16" s="65">
        <f>CHOOSE(Plan!$K$5,'Calc Smart'!M22,'Calc Avalanche'!M22,'Calc Snowball'!M22,'Calc Cashflow'!M22)</f>
        <v/>
      </c>
      <c r="Q16" s="65">
        <f>CHOOSE(Plan!$K$5,'Calc Smart'!N22,'Calc Avalanche'!N22,'Calc Snowball'!N22,'Calc Cashflow'!N22)</f>
        <v/>
      </c>
    </row>
    <row r="17">
      <c r="B17" s="66">
        <f>EDATE(Plan!$C$6,11)</f>
        <v/>
      </c>
      <c r="C17" s="32">
        <f>CHOOSE(Plan!$K$5,'Calc Smart'!AE23,'Calc Avalanche'!AE23,'Calc Snowball'!AE23,'Calc Cashflow'!AE23)</f>
        <v/>
      </c>
      <c r="D17" s="32">
        <f>CHOOSE(Plan!$K$5,'Calc Smart'!AD23,'Calc Avalanche'!AD23,'Calc Snowball'!AD23,'Calc Cashflow'!AD23)</f>
        <v/>
      </c>
      <c r="E17" s="43">
        <f>CHOOSE(Plan!$K$5,COUNTIF('Calc Smart'!C23:N23,"&gt;0"),COUNTIF('Calc Avalanche'!C23:N23,"&gt;0"),COUNTIF('Calc Snowball'!C23:N23,"&gt;0"),COUNTIF('Calc Cashflow'!C23:N23,"&gt;0"))</f>
        <v/>
      </c>
      <c r="F17" s="67">
        <f>CHOOSE(Plan!$K$5,'Calc Smart'!C23,'Calc Avalanche'!C23,'Calc Snowball'!C23,'Calc Cashflow'!C23)</f>
        <v/>
      </c>
      <c r="G17" s="67">
        <f>CHOOSE(Plan!$K$5,'Calc Smart'!D23,'Calc Avalanche'!D23,'Calc Snowball'!D23,'Calc Cashflow'!D23)</f>
        <v/>
      </c>
      <c r="H17" s="67">
        <f>CHOOSE(Plan!$K$5,'Calc Smart'!E23,'Calc Avalanche'!E23,'Calc Snowball'!E23,'Calc Cashflow'!E23)</f>
        <v/>
      </c>
      <c r="I17" s="67">
        <f>CHOOSE(Plan!$K$5,'Calc Smart'!F23,'Calc Avalanche'!F23,'Calc Snowball'!F23,'Calc Cashflow'!F23)</f>
        <v/>
      </c>
      <c r="J17" s="67">
        <f>CHOOSE(Plan!$K$5,'Calc Smart'!G23,'Calc Avalanche'!G23,'Calc Snowball'!G23,'Calc Cashflow'!G23)</f>
        <v/>
      </c>
      <c r="K17" s="67">
        <f>CHOOSE(Plan!$K$5,'Calc Smart'!H23,'Calc Avalanche'!H23,'Calc Snowball'!H23,'Calc Cashflow'!H23)</f>
        <v/>
      </c>
      <c r="L17" s="67">
        <f>CHOOSE(Plan!$K$5,'Calc Smart'!I23,'Calc Avalanche'!I23,'Calc Snowball'!I23,'Calc Cashflow'!I23)</f>
        <v/>
      </c>
      <c r="M17" s="67">
        <f>CHOOSE(Plan!$K$5,'Calc Smart'!J23,'Calc Avalanche'!J23,'Calc Snowball'!J23,'Calc Cashflow'!J23)</f>
        <v/>
      </c>
      <c r="N17" s="67">
        <f>CHOOSE(Plan!$K$5,'Calc Smart'!K23,'Calc Avalanche'!K23,'Calc Snowball'!K23,'Calc Cashflow'!K23)</f>
        <v/>
      </c>
      <c r="O17" s="67">
        <f>CHOOSE(Plan!$K$5,'Calc Smart'!L23,'Calc Avalanche'!L23,'Calc Snowball'!L23,'Calc Cashflow'!L23)</f>
        <v/>
      </c>
      <c r="P17" s="67">
        <f>CHOOSE(Plan!$K$5,'Calc Smart'!M23,'Calc Avalanche'!M23,'Calc Snowball'!M23,'Calc Cashflow'!M23)</f>
        <v/>
      </c>
      <c r="Q17" s="67">
        <f>CHOOSE(Plan!$K$5,'Calc Smart'!N23,'Calc Avalanche'!N23,'Calc Snowball'!N23,'Calc Cashflow'!N23)</f>
        <v/>
      </c>
    </row>
    <row r="18">
      <c r="B18" s="64">
        <f>EDATE(Plan!$C$6,12)</f>
        <v/>
      </c>
      <c r="C18" s="31">
        <f>CHOOSE(Plan!$K$5,'Calc Smart'!AE24,'Calc Avalanche'!AE24,'Calc Snowball'!AE24,'Calc Cashflow'!AE24)</f>
        <v/>
      </c>
      <c r="D18" s="31">
        <f>CHOOSE(Plan!$K$5,'Calc Smart'!AD24,'Calc Avalanche'!AD24,'Calc Snowball'!AD24,'Calc Cashflow'!AD24)</f>
        <v/>
      </c>
      <c r="E18" s="40">
        <f>CHOOSE(Plan!$K$5,COUNTIF('Calc Smart'!C24:N24,"&gt;0"),COUNTIF('Calc Avalanche'!C24:N24,"&gt;0"),COUNTIF('Calc Snowball'!C24:N24,"&gt;0"),COUNTIF('Calc Cashflow'!C24:N24,"&gt;0"))</f>
        <v/>
      </c>
      <c r="F18" s="65">
        <f>CHOOSE(Plan!$K$5,'Calc Smart'!C24,'Calc Avalanche'!C24,'Calc Snowball'!C24,'Calc Cashflow'!C24)</f>
        <v/>
      </c>
      <c r="G18" s="65">
        <f>CHOOSE(Plan!$K$5,'Calc Smart'!D24,'Calc Avalanche'!D24,'Calc Snowball'!D24,'Calc Cashflow'!D24)</f>
        <v/>
      </c>
      <c r="H18" s="65">
        <f>CHOOSE(Plan!$K$5,'Calc Smart'!E24,'Calc Avalanche'!E24,'Calc Snowball'!E24,'Calc Cashflow'!E24)</f>
        <v/>
      </c>
      <c r="I18" s="65">
        <f>CHOOSE(Plan!$K$5,'Calc Smart'!F24,'Calc Avalanche'!F24,'Calc Snowball'!F24,'Calc Cashflow'!F24)</f>
        <v/>
      </c>
      <c r="J18" s="65">
        <f>CHOOSE(Plan!$K$5,'Calc Smart'!G24,'Calc Avalanche'!G24,'Calc Snowball'!G24,'Calc Cashflow'!G24)</f>
        <v/>
      </c>
      <c r="K18" s="65">
        <f>CHOOSE(Plan!$K$5,'Calc Smart'!H24,'Calc Avalanche'!H24,'Calc Snowball'!H24,'Calc Cashflow'!H24)</f>
        <v/>
      </c>
      <c r="L18" s="65">
        <f>CHOOSE(Plan!$K$5,'Calc Smart'!I24,'Calc Avalanche'!I24,'Calc Snowball'!I24,'Calc Cashflow'!I24)</f>
        <v/>
      </c>
      <c r="M18" s="65">
        <f>CHOOSE(Plan!$K$5,'Calc Smart'!J24,'Calc Avalanche'!J24,'Calc Snowball'!J24,'Calc Cashflow'!J24)</f>
        <v/>
      </c>
      <c r="N18" s="65">
        <f>CHOOSE(Plan!$K$5,'Calc Smart'!K24,'Calc Avalanche'!K24,'Calc Snowball'!K24,'Calc Cashflow'!K24)</f>
        <v/>
      </c>
      <c r="O18" s="65">
        <f>CHOOSE(Plan!$K$5,'Calc Smart'!L24,'Calc Avalanche'!L24,'Calc Snowball'!L24,'Calc Cashflow'!L24)</f>
        <v/>
      </c>
      <c r="P18" s="65">
        <f>CHOOSE(Plan!$K$5,'Calc Smart'!M24,'Calc Avalanche'!M24,'Calc Snowball'!M24,'Calc Cashflow'!M24)</f>
        <v/>
      </c>
      <c r="Q18" s="65">
        <f>CHOOSE(Plan!$K$5,'Calc Smart'!N24,'Calc Avalanche'!N24,'Calc Snowball'!N24,'Calc Cashflow'!N24)</f>
        <v/>
      </c>
    </row>
    <row r="19">
      <c r="B19" s="66">
        <f>EDATE(Plan!$C$6,13)</f>
        <v/>
      </c>
      <c r="C19" s="32">
        <f>CHOOSE(Plan!$K$5,'Calc Smart'!AE25,'Calc Avalanche'!AE25,'Calc Snowball'!AE25,'Calc Cashflow'!AE25)</f>
        <v/>
      </c>
      <c r="D19" s="32">
        <f>CHOOSE(Plan!$K$5,'Calc Smart'!AD25,'Calc Avalanche'!AD25,'Calc Snowball'!AD25,'Calc Cashflow'!AD25)</f>
        <v/>
      </c>
      <c r="E19" s="43">
        <f>CHOOSE(Plan!$K$5,COUNTIF('Calc Smart'!C25:N25,"&gt;0"),COUNTIF('Calc Avalanche'!C25:N25,"&gt;0"),COUNTIF('Calc Snowball'!C25:N25,"&gt;0"),COUNTIF('Calc Cashflow'!C25:N25,"&gt;0"))</f>
        <v/>
      </c>
      <c r="F19" s="67">
        <f>CHOOSE(Plan!$K$5,'Calc Smart'!C25,'Calc Avalanche'!C25,'Calc Snowball'!C25,'Calc Cashflow'!C25)</f>
        <v/>
      </c>
      <c r="G19" s="67">
        <f>CHOOSE(Plan!$K$5,'Calc Smart'!D25,'Calc Avalanche'!D25,'Calc Snowball'!D25,'Calc Cashflow'!D25)</f>
        <v/>
      </c>
      <c r="H19" s="67">
        <f>CHOOSE(Plan!$K$5,'Calc Smart'!E25,'Calc Avalanche'!E25,'Calc Snowball'!E25,'Calc Cashflow'!E25)</f>
        <v/>
      </c>
      <c r="I19" s="67">
        <f>CHOOSE(Plan!$K$5,'Calc Smart'!F25,'Calc Avalanche'!F25,'Calc Snowball'!F25,'Calc Cashflow'!F25)</f>
        <v/>
      </c>
      <c r="J19" s="67">
        <f>CHOOSE(Plan!$K$5,'Calc Smart'!G25,'Calc Avalanche'!G25,'Calc Snowball'!G25,'Calc Cashflow'!G25)</f>
        <v/>
      </c>
      <c r="K19" s="67">
        <f>CHOOSE(Plan!$K$5,'Calc Smart'!H25,'Calc Avalanche'!H25,'Calc Snowball'!H25,'Calc Cashflow'!H25)</f>
        <v/>
      </c>
      <c r="L19" s="67">
        <f>CHOOSE(Plan!$K$5,'Calc Smart'!I25,'Calc Avalanche'!I25,'Calc Snowball'!I25,'Calc Cashflow'!I25)</f>
        <v/>
      </c>
      <c r="M19" s="67">
        <f>CHOOSE(Plan!$K$5,'Calc Smart'!J25,'Calc Avalanche'!J25,'Calc Snowball'!J25,'Calc Cashflow'!J25)</f>
        <v/>
      </c>
      <c r="N19" s="67">
        <f>CHOOSE(Plan!$K$5,'Calc Smart'!K25,'Calc Avalanche'!K25,'Calc Snowball'!K25,'Calc Cashflow'!K25)</f>
        <v/>
      </c>
      <c r="O19" s="67">
        <f>CHOOSE(Plan!$K$5,'Calc Smart'!L25,'Calc Avalanche'!L25,'Calc Snowball'!L25,'Calc Cashflow'!L25)</f>
        <v/>
      </c>
      <c r="P19" s="67">
        <f>CHOOSE(Plan!$K$5,'Calc Smart'!M25,'Calc Avalanche'!M25,'Calc Snowball'!M25,'Calc Cashflow'!M25)</f>
        <v/>
      </c>
      <c r="Q19" s="67">
        <f>CHOOSE(Plan!$K$5,'Calc Smart'!N25,'Calc Avalanche'!N25,'Calc Snowball'!N25,'Calc Cashflow'!N25)</f>
        <v/>
      </c>
    </row>
    <row r="20">
      <c r="B20" s="64">
        <f>EDATE(Plan!$C$6,14)</f>
        <v/>
      </c>
      <c r="C20" s="31">
        <f>CHOOSE(Plan!$K$5,'Calc Smart'!AE26,'Calc Avalanche'!AE26,'Calc Snowball'!AE26,'Calc Cashflow'!AE26)</f>
        <v/>
      </c>
      <c r="D20" s="31">
        <f>CHOOSE(Plan!$K$5,'Calc Smart'!AD26,'Calc Avalanche'!AD26,'Calc Snowball'!AD26,'Calc Cashflow'!AD26)</f>
        <v/>
      </c>
      <c r="E20" s="40">
        <f>CHOOSE(Plan!$K$5,COUNTIF('Calc Smart'!C26:N26,"&gt;0"),COUNTIF('Calc Avalanche'!C26:N26,"&gt;0"),COUNTIF('Calc Snowball'!C26:N26,"&gt;0"),COUNTIF('Calc Cashflow'!C26:N26,"&gt;0"))</f>
        <v/>
      </c>
      <c r="F20" s="65">
        <f>CHOOSE(Plan!$K$5,'Calc Smart'!C26,'Calc Avalanche'!C26,'Calc Snowball'!C26,'Calc Cashflow'!C26)</f>
        <v/>
      </c>
      <c r="G20" s="65">
        <f>CHOOSE(Plan!$K$5,'Calc Smart'!D26,'Calc Avalanche'!D26,'Calc Snowball'!D26,'Calc Cashflow'!D26)</f>
        <v/>
      </c>
      <c r="H20" s="65">
        <f>CHOOSE(Plan!$K$5,'Calc Smart'!E26,'Calc Avalanche'!E26,'Calc Snowball'!E26,'Calc Cashflow'!E26)</f>
        <v/>
      </c>
      <c r="I20" s="65">
        <f>CHOOSE(Plan!$K$5,'Calc Smart'!F26,'Calc Avalanche'!F26,'Calc Snowball'!F26,'Calc Cashflow'!F26)</f>
        <v/>
      </c>
      <c r="J20" s="65">
        <f>CHOOSE(Plan!$K$5,'Calc Smart'!G26,'Calc Avalanche'!G26,'Calc Snowball'!G26,'Calc Cashflow'!G26)</f>
        <v/>
      </c>
      <c r="K20" s="65">
        <f>CHOOSE(Plan!$K$5,'Calc Smart'!H26,'Calc Avalanche'!H26,'Calc Snowball'!H26,'Calc Cashflow'!H26)</f>
        <v/>
      </c>
      <c r="L20" s="65">
        <f>CHOOSE(Plan!$K$5,'Calc Smart'!I26,'Calc Avalanche'!I26,'Calc Snowball'!I26,'Calc Cashflow'!I26)</f>
        <v/>
      </c>
      <c r="M20" s="65">
        <f>CHOOSE(Plan!$K$5,'Calc Smart'!J26,'Calc Avalanche'!J26,'Calc Snowball'!J26,'Calc Cashflow'!J26)</f>
        <v/>
      </c>
      <c r="N20" s="65">
        <f>CHOOSE(Plan!$K$5,'Calc Smart'!K26,'Calc Avalanche'!K26,'Calc Snowball'!K26,'Calc Cashflow'!K26)</f>
        <v/>
      </c>
      <c r="O20" s="65">
        <f>CHOOSE(Plan!$K$5,'Calc Smart'!L26,'Calc Avalanche'!L26,'Calc Snowball'!L26,'Calc Cashflow'!L26)</f>
        <v/>
      </c>
      <c r="P20" s="65">
        <f>CHOOSE(Plan!$K$5,'Calc Smart'!M26,'Calc Avalanche'!M26,'Calc Snowball'!M26,'Calc Cashflow'!M26)</f>
        <v/>
      </c>
      <c r="Q20" s="65">
        <f>CHOOSE(Plan!$K$5,'Calc Smart'!N26,'Calc Avalanche'!N26,'Calc Snowball'!N26,'Calc Cashflow'!N26)</f>
        <v/>
      </c>
    </row>
    <row r="21">
      <c r="B21" s="66">
        <f>EDATE(Plan!$C$6,15)</f>
        <v/>
      </c>
      <c r="C21" s="32">
        <f>CHOOSE(Plan!$K$5,'Calc Smart'!AE27,'Calc Avalanche'!AE27,'Calc Snowball'!AE27,'Calc Cashflow'!AE27)</f>
        <v/>
      </c>
      <c r="D21" s="32">
        <f>CHOOSE(Plan!$K$5,'Calc Smart'!AD27,'Calc Avalanche'!AD27,'Calc Snowball'!AD27,'Calc Cashflow'!AD27)</f>
        <v/>
      </c>
      <c r="E21" s="43">
        <f>CHOOSE(Plan!$K$5,COUNTIF('Calc Smart'!C27:N27,"&gt;0"),COUNTIF('Calc Avalanche'!C27:N27,"&gt;0"),COUNTIF('Calc Snowball'!C27:N27,"&gt;0"),COUNTIF('Calc Cashflow'!C27:N27,"&gt;0"))</f>
        <v/>
      </c>
      <c r="F21" s="67">
        <f>CHOOSE(Plan!$K$5,'Calc Smart'!C27,'Calc Avalanche'!C27,'Calc Snowball'!C27,'Calc Cashflow'!C27)</f>
        <v/>
      </c>
      <c r="G21" s="67">
        <f>CHOOSE(Plan!$K$5,'Calc Smart'!D27,'Calc Avalanche'!D27,'Calc Snowball'!D27,'Calc Cashflow'!D27)</f>
        <v/>
      </c>
      <c r="H21" s="67">
        <f>CHOOSE(Plan!$K$5,'Calc Smart'!E27,'Calc Avalanche'!E27,'Calc Snowball'!E27,'Calc Cashflow'!E27)</f>
        <v/>
      </c>
      <c r="I21" s="67">
        <f>CHOOSE(Plan!$K$5,'Calc Smart'!F27,'Calc Avalanche'!F27,'Calc Snowball'!F27,'Calc Cashflow'!F27)</f>
        <v/>
      </c>
      <c r="J21" s="67">
        <f>CHOOSE(Plan!$K$5,'Calc Smart'!G27,'Calc Avalanche'!G27,'Calc Snowball'!G27,'Calc Cashflow'!G27)</f>
        <v/>
      </c>
      <c r="K21" s="67">
        <f>CHOOSE(Plan!$K$5,'Calc Smart'!H27,'Calc Avalanche'!H27,'Calc Snowball'!H27,'Calc Cashflow'!H27)</f>
        <v/>
      </c>
      <c r="L21" s="67">
        <f>CHOOSE(Plan!$K$5,'Calc Smart'!I27,'Calc Avalanche'!I27,'Calc Snowball'!I27,'Calc Cashflow'!I27)</f>
        <v/>
      </c>
      <c r="M21" s="67">
        <f>CHOOSE(Plan!$K$5,'Calc Smart'!J27,'Calc Avalanche'!J27,'Calc Snowball'!J27,'Calc Cashflow'!J27)</f>
        <v/>
      </c>
      <c r="N21" s="67">
        <f>CHOOSE(Plan!$K$5,'Calc Smart'!K27,'Calc Avalanche'!K27,'Calc Snowball'!K27,'Calc Cashflow'!K27)</f>
        <v/>
      </c>
      <c r="O21" s="67">
        <f>CHOOSE(Plan!$K$5,'Calc Smart'!L27,'Calc Avalanche'!L27,'Calc Snowball'!L27,'Calc Cashflow'!L27)</f>
        <v/>
      </c>
      <c r="P21" s="67">
        <f>CHOOSE(Plan!$K$5,'Calc Smart'!M27,'Calc Avalanche'!M27,'Calc Snowball'!M27,'Calc Cashflow'!M27)</f>
        <v/>
      </c>
      <c r="Q21" s="67">
        <f>CHOOSE(Plan!$K$5,'Calc Smart'!N27,'Calc Avalanche'!N27,'Calc Snowball'!N27,'Calc Cashflow'!N27)</f>
        <v/>
      </c>
    </row>
    <row r="22">
      <c r="B22" s="64">
        <f>EDATE(Plan!$C$6,16)</f>
        <v/>
      </c>
      <c r="C22" s="31">
        <f>CHOOSE(Plan!$K$5,'Calc Smart'!AE28,'Calc Avalanche'!AE28,'Calc Snowball'!AE28,'Calc Cashflow'!AE28)</f>
        <v/>
      </c>
      <c r="D22" s="31">
        <f>CHOOSE(Plan!$K$5,'Calc Smart'!AD28,'Calc Avalanche'!AD28,'Calc Snowball'!AD28,'Calc Cashflow'!AD28)</f>
        <v/>
      </c>
      <c r="E22" s="40">
        <f>CHOOSE(Plan!$K$5,COUNTIF('Calc Smart'!C28:N28,"&gt;0"),COUNTIF('Calc Avalanche'!C28:N28,"&gt;0"),COUNTIF('Calc Snowball'!C28:N28,"&gt;0"),COUNTIF('Calc Cashflow'!C28:N28,"&gt;0"))</f>
        <v/>
      </c>
      <c r="F22" s="65">
        <f>CHOOSE(Plan!$K$5,'Calc Smart'!C28,'Calc Avalanche'!C28,'Calc Snowball'!C28,'Calc Cashflow'!C28)</f>
        <v/>
      </c>
      <c r="G22" s="65">
        <f>CHOOSE(Plan!$K$5,'Calc Smart'!D28,'Calc Avalanche'!D28,'Calc Snowball'!D28,'Calc Cashflow'!D28)</f>
        <v/>
      </c>
      <c r="H22" s="65">
        <f>CHOOSE(Plan!$K$5,'Calc Smart'!E28,'Calc Avalanche'!E28,'Calc Snowball'!E28,'Calc Cashflow'!E28)</f>
        <v/>
      </c>
      <c r="I22" s="65">
        <f>CHOOSE(Plan!$K$5,'Calc Smart'!F28,'Calc Avalanche'!F28,'Calc Snowball'!F28,'Calc Cashflow'!F28)</f>
        <v/>
      </c>
      <c r="J22" s="65">
        <f>CHOOSE(Plan!$K$5,'Calc Smart'!G28,'Calc Avalanche'!G28,'Calc Snowball'!G28,'Calc Cashflow'!G28)</f>
        <v/>
      </c>
      <c r="K22" s="65">
        <f>CHOOSE(Plan!$K$5,'Calc Smart'!H28,'Calc Avalanche'!H28,'Calc Snowball'!H28,'Calc Cashflow'!H28)</f>
        <v/>
      </c>
      <c r="L22" s="65">
        <f>CHOOSE(Plan!$K$5,'Calc Smart'!I28,'Calc Avalanche'!I28,'Calc Snowball'!I28,'Calc Cashflow'!I28)</f>
        <v/>
      </c>
      <c r="M22" s="65">
        <f>CHOOSE(Plan!$K$5,'Calc Smart'!J28,'Calc Avalanche'!J28,'Calc Snowball'!J28,'Calc Cashflow'!J28)</f>
        <v/>
      </c>
      <c r="N22" s="65">
        <f>CHOOSE(Plan!$K$5,'Calc Smart'!K28,'Calc Avalanche'!K28,'Calc Snowball'!K28,'Calc Cashflow'!K28)</f>
        <v/>
      </c>
      <c r="O22" s="65">
        <f>CHOOSE(Plan!$K$5,'Calc Smart'!L28,'Calc Avalanche'!L28,'Calc Snowball'!L28,'Calc Cashflow'!L28)</f>
        <v/>
      </c>
      <c r="P22" s="65">
        <f>CHOOSE(Plan!$K$5,'Calc Smart'!M28,'Calc Avalanche'!M28,'Calc Snowball'!M28,'Calc Cashflow'!M28)</f>
        <v/>
      </c>
      <c r="Q22" s="65">
        <f>CHOOSE(Plan!$K$5,'Calc Smart'!N28,'Calc Avalanche'!N28,'Calc Snowball'!N28,'Calc Cashflow'!N28)</f>
        <v/>
      </c>
    </row>
    <row r="23">
      <c r="B23" s="66">
        <f>EDATE(Plan!$C$6,17)</f>
        <v/>
      </c>
      <c r="C23" s="32">
        <f>CHOOSE(Plan!$K$5,'Calc Smart'!AE29,'Calc Avalanche'!AE29,'Calc Snowball'!AE29,'Calc Cashflow'!AE29)</f>
        <v/>
      </c>
      <c r="D23" s="32">
        <f>CHOOSE(Plan!$K$5,'Calc Smart'!AD29,'Calc Avalanche'!AD29,'Calc Snowball'!AD29,'Calc Cashflow'!AD29)</f>
        <v/>
      </c>
      <c r="E23" s="43">
        <f>CHOOSE(Plan!$K$5,COUNTIF('Calc Smart'!C29:N29,"&gt;0"),COUNTIF('Calc Avalanche'!C29:N29,"&gt;0"),COUNTIF('Calc Snowball'!C29:N29,"&gt;0"),COUNTIF('Calc Cashflow'!C29:N29,"&gt;0"))</f>
        <v/>
      </c>
      <c r="F23" s="67">
        <f>CHOOSE(Plan!$K$5,'Calc Smart'!C29,'Calc Avalanche'!C29,'Calc Snowball'!C29,'Calc Cashflow'!C29)</f>
        <v/>
      </c>
      <c r="G23" s="67">
        <f>CHOOSE(Plan!$K$5,'Calc Smart'!D29,'Calc Avalanche'!D29,'Calc Snowball'!D29,'Calc Cashflow'!D29)</f>
        <v/>
      </c>
      <c r="H23" s="67">
        <f>CHOOSE(Plan!$K$5,'Calc Smart'!E29,'Calc Avalanche'!E29,'Calc Snowball'!E29,'Calc Cashflow'!E29)</f>
        <v/>
      </c>
      <c r="I23" s="67">
        <f>CHOOSE(Plan!$K$5,'Calc Smart'!F29,'Calc Avalanche'!F29,'Calc Snowball'!F29,'Calc Cashflow'!F29)</f>
        <v/>
      </c>
      <c r="J23" s="67">
        <f>CHOOSE(Plan!$K$5,'Calc Smart'!G29,'Calc Avalanche'!G29,'Calc Snowball'!G29,'Calc Cashflow'!G29)</f>
        <v/>
      </c>
      <c r="K23" s="67">
        <f>CHOOSE(Plan!$K$5,'Calc Smart'!H29,'Calc Avalanche'!H29,'Calc Snowball'!H29,'Calc Cashflow'!H29)</f>
        <v/>
      </c>
      <c r="L23" s="67">
        <f>CHOOSE(Plan!$K$5,'Calc Smart'!I29,'Calc Avalanche'!I29,'Calc Snowball'!I29,'Calc Cashflow'!I29)</f>
        <v/>
      </c>
      <c r="M23" s="67">
        <f>CHOOSE(Plan!$K$5,'Calc Smart'!J29,'Calc Avalanche'!J29,'Calc Snowball'!J29,'Calc Cashflow'!J29)</f>
        <v/>
      </c>
      <c r="N23" s="67">
        <f>CHOOSE(Plan!$K$5,'Calc Smart'!K29,'Calc Avalanche'!K29,'Calc Snowball'!K29,'Calc Cashflow'!K29)</f>
        <v/>
      </c>
      <c r="O23" s="67">
        <f>CHOOSE(Plan!$K$5,'Calc Smart'!L29,'Calc Avalanche'!L29,'Calc Snowball'!L29,'Calc Cashflow'!L29)</f>
        <v/>
      </c>
      <c r="P23" s="67">
        <f>CHOOSE(Plan!$K$5,'Calc Smart'!M29,'Calc Avalanche'!M29,'Calc Snowball'!M29,'Calc Cashflow'!M29)</f>
        <v/>
      </c>
      <c r="Q23" s="67">
        <f>CHOOSE(Plan!$K$5,'Calc Smart'!N29,'Calc Avalanche'!N29,'Calc Snowball'!N29,'Calc Cashflow'!N29)</f>
        <v/>
      </c>
    </row>
    <row r="24">
      <c r="B24" s="64">
        <f>EDATE(Plan!$C$6,18)</f>
        <v/>
      </c>
      <c r="C24" s="31">
        <f>CHOOSE(Plan!$K$5,'Calc Smart'!AE30,'Calc Avalanche'!AE30,'Calc Snowball'!AE30,'Calc Cashflow'!AE30)</f>
        <v/>
      </c>
      <c r="D24" s="31">
        <f>CHOOSE(Plan!$K$5,'Calc Smart'!AD30,'Calc Avalanche'!AD30,'Calc Snowball'!AD30,'Calc Cashflow'!AD30)</f>
        <v/>
      </c>
      <c r="E24" s="40">
        <f>CHOOSE(Plan!$K$5,COUNTIF('Calc Smart'!C30:N30,"&gt;0"),COUNTIF('Calc Avalanche'!C30:N30,"&gt;0"),COUNTIF('Calc Snowball'!C30:N30,"&gt;0"),COUNTIF('Calc Cashflow'!C30:N30,"&gt;0"))</f>
        <v/>
      </c>
      <c r="F24" s="65">
        <f>CHOOSE(Plan!$K$5,'Calc Smart'!C30,'Calc Avalanche'!C30,'Calc Snowball'!C30,'Calc Cashflow'!C30)</f>
        <v/>
      </c>
      <c r="G24" s="65">
        <f>CHOOSE(Plan!$K$5,'Calc Smart'!D30,'Calc Avalanche'!D30,'Calc Snowball'!D30,'Calc Cashflow'!D30)</f>
        <v/>
      </c>
      <c r="H24" s="65">
        <f>CHOOSE(Plan!$K$5,'Calc Smart'!E30,'Calc Avalanche'!E30,'Calc Snowball'!E30,'Calc Cashflow'!E30)</f>
        <v/>
      </c>
      <c r="I24" s="65">
        <f>CHOOSE(Plan!$K$5,'Calc Smart'!F30,'Calc Avalanche'!F30,'Calc Snowball'!F30,'Calc Cashflow'!F30)</f>
        <v/>
      </c>
      <c r="J24" s="65">
        <f>CHOOSE(Plan!$K$5,'Calc Smart'!G30,'Calc Avalanche'!G30,'Calc Snowball'!G30,'Calc Cashflow'!G30)</f>
        <v/>
      </c>
      <c r="K24" s="65">
        <f>CHOOSE(Plan!$K$5,'Calc Smart'!H30,'Calc Avalanche'!H30,'Calc Snowball'!H30,'Calc Cashflow'!H30)</f>
        <v/>
      </c>
      <c r="L24" s="65">
        <f>CHOOSE(Plan!$K$5,'Calc Smart'!I30,'Calc Avalanche'!I30,'Calc Snowball'!I30,'Calc Cashflow'!I30)</f>
        <v/>
      </c>
      <c r="M24" s="65">
        <f>CHOOSE(Plan!$K$5,'Calc Smart'!J30,'Calc Avalanche'!J30,'Calc Snowball'!J30,'Calc Cashflow'!J30)</f>
        <v/>
      </c>
      <c r="N24" s="65">
        <f>CHOOSE(Plan!$K$5,'Calc Smart'!K30,'Calc Avalanche'!K30,'Calc Snowball'!K30,'Calc Cashflow'!K30)</f>
        <v/>
      </c>
      <c r="O24" s="65">
        <f>CHOOSE(Plan!$K$5,'Calc Smart'!L30,'Calc Avalanche'!L30,'Calc Snowball'!L30,'Calc Cashflow'!L30)</f>
        <v/>
      </c>
      <c r="P24" s="65">
        <f>CHOOSE(Plan!$K$5,'Calc Smart'!M30,'Calc Avalanche'!M30,'Calc Snowball'!M30,'Calc Cashflow'!M30)</f>
        <v/>
      </c>
      <c r="Q24" s="65">
        <f>CHOOSE(Plan!$K$5,'Calc Smart'!N30,'Calc Avalanche'!N30,'Calc Snowball'!N30,'Calc Cashflow'!N30)</f>
        <v/>
      </c>
    </row>
    <row r="25">
      <c r="B25" s="66">
        <f>EDATE(Plan!$C$6,19)</f>
        <v/>
      </c>
      <c r="C25" s="32">
        <f>CHOOSE(Plan!$K$5,'Calc Smart'!AE31,'Calc Avalanche'!AE31,'Calc Snowball'!AE31,'Calc Cashflow'!AE31)</f>
        <v/>
      </c>
      <c r="D25" s="32">
        <f>CHOOSE(Plan!$K$5,'Calc Smart'!AD31,'Calc Avalanche'!AD31,'Calc Snowball'!AD31,'Calc Cashflow'!AD31)</f>
        <v/>
      </c>
      <c r="E25" s="43">
        <f>CHOOSE(Plan!$K$5,COUNTIF('Calc Smart'!C31:N31,"&gt;0"),COUNTIF('Calc Avalanche'!C31:N31,"&gt;0"),COUNTIF('Calc Snowball'!C31:N31,"&gt;0"),COUNTIF('Calc Cashflow'!C31:N31,"&gt;0"))</f>
        <v/>
      </c>
      <c r="F25" s="67">
        <f>CHOOSE(Plan!$K$5,'Calc Smart'!C31,'Calc Avalanche'!C31,'Calc Snowball'!C31,'Calc Cashflow'!C31)</f>
        <v/>
      </c>
      <c r="G25" s="67">
        <f>CHOOSE(Plan!$K$5,'Calc Smart'!D31,'Calc Avalanche'!D31,'Calc Snowball'!D31,'Calc Cashflow'!D31)</f>
        <v/>
      </c>
      <c r="H25" s="67">
        <f>CHOOSE(Plan!$K$5,'Calc Smart'!E31,'Calc Avalanche'!E31,'Calc Snowball'!E31,'Calc Cashflow'!E31)</f>
        <v/>
      </c>
      <c r="I25" s="67">
        <f>CHOOSE(Plan!$K$5,'Calc Smart'!F31,'Calc Avalanche'!F31,'Calc Snowball'!F31,'Calc Cashflow'!F31)</f>
        <v/>
      </c>
      <c r="J25" s="67">
        <f>CHOOSE(Plan!$K$5,'Calc Smart'!G31,'Calc Avalanche'!G31,'Calc Snowball'!G31,'Calc Cashflow'!G31)</f>
        <v/>
      </c>
      <c r="K25" s="67">
        <f>CHOOSE(Plan!$K$5,'Calc Smart'!H31,'Calc Avalanche'!H31,'Calc Snowball'!H31,'Calc Cashflow'!H31)</f>
        <v/>
      </c>
      <c r="L25" s="67">
        <f>CHOOSE(Plan!$K$5,'Calc Smart'!I31,'Calc Avalanche'!I31,'Calc Snowball'!I31,'Calc Cashflow'!I31)</f>
        <v/>
      </c>
      <c r="M25" s="67">
        <f>CHOOSE(Plan!$K$5,'Calc Smart'!J31,'Calc Avalanche'!J31,'Calc Snowball'!J31,'Calc Cashflow'!J31)</f>
        <v/>
      </c>
      <c r="N25" s="67">
        <f>CHOOSE(Plan!$K$5,'Calc Smart'!K31,'Calc Avalanche'!K31,'Calc Snowball'!K31,'Calc Cashflow'!K31)</f>
        <v/>
      </c>
      <c r="O25" s="67">
        <f>CHOOSE(Plan!$K$5,'Calc Smart'!L31,'Calc Avalanche'!L31,'Calc Snowball'!L31,'Calc Cashflow'!L31)</f>
        <v/>
      </c>
      <c r="P25" s="67">
        <f>CHOOSE(Plan!$K$5,'Calc Smart'!M31,'Calc Avalanche'!M31,'Calc Snowball'!M31,'Calc Cashflow'!M31)</f>
        <v/>
      </c>
      <c r="Q25" s="67">
        <f>CHOOSE(Plan!$K$5,'Calc Smart'!N31,'Calc Avalanche'!N31,'Calc Snowball'!N31,'Calc Cashflow'!N31)</f>
        <v/>
      </c>
    </row>
    <row r="26">
      <c r="B26" s="64">
        <f>EDATE(Plan!$C$6,20)</f>
        <v/>
      </c>
      <c r="C26" s="31">
        <f>CHOOSE(Plan!$K$5,'Calc Smart'!AE32,'Calc Avalanche'!AE32,'Calc Snowball'!AE32,'Calc Cashflow'!AE32)</f>
        <v/>
      </c>
      <c r="D26" s="31">
        <f>CHOOSE(Plan!$K$5,'Calc Smart'!AD32,'Calc Avalanche'!AD32,'Calc Snowball'!AD32,'Calc Cashflow'!AD32)</f>
        <v/>
      </c>
      <c r="E26" s="40">
        <f>CHOOSE(Plan!$K$5,COUNTIF('Calc Smart'!C32:N32,"&gt;0"),COUNTIF('Calc Avalanche'!C32:N32,"&gt;0"),COUNTIF('Calc Snowball'!C32:N32,"&gt;0"),COUNTIF('Calc Cashflow'!C32:N32,"&gt;0"))</f>
        <v/>
      </c>
      <c r="F26" s="65">
        <f>CHOOSE(Plan!$K$5,'Calc Smart'!C32,'Calc Avalanche'!C32,'Calc Snowball'!C32,'Calc Cashflow'!C32)</f>
        <v/>
      </c>
      <c r="G26" s="65">
        <f>CHOOSE(Plan!$K$5,'Calc Smart'!D32,'Calc Avalanche'!D32,'Calc Snowball'!D32,'Calc Cashflow'!D32)</f>
        <v/>
      </c>
      <c r="H26" s="65">
        <f>CHOOSE(Plan!$K$5,'Calc Smart'!E32,'Calc Avalanche'!E32,'Calc Snowball'!E32,'Calc Cashflow'!E32)</f>
        <v/>
      </c>
      <c r="I26" s="65">
        <f>CHOOSE(Plan!$K$5,'Calc Smart'!F32,'Calc Avalanche'!F32,'Calc Snowball'!F32,'Calc Cashflow'!F32)</f>
        <v/>
      </c>
      <c r="J26" s="65">
        <f>CHOOSE(Plan!$K$5,'Calc Smart'!G32,'Calc Avalanche'!G32,'Calc Snowball'!G32,'Calc Cashflow'!G32)</f>
        <v/>
      </c>
      <c r="K26" s="65">
        <f>CHOOSE(Plan!$K$5,'Calc Smart'!H32,'Calc Avalanche'!H32,'Calc Snowball'!H32,'Calc Cashflow'!H32)</f>
        <v/>
      </c>
      <c r="L26" s="65">
        <f>CHOOSE(Plan!$K$5,'Calc Smart'!I32,'Calc Avalanche'!I32,'Calc Snowball'!I32,'Calc Cashflow'!I32)</f>
        <v/>
      </c>
      <c r="M26" s="65">
        <f>CHOOSE(Plan!$K$5,'Calc Smart'!J32,'Calc Avalanche'!J32,'Calc Snowball'!J32,'Calc Cashflow'!J32)</f>
        <v/>
      </c>
      <c r="N26" s="65">
        <f>CHOOSE(Plan!$K$5,'Calc Smart'!K32,'Calc Avalanche'!K32,'Calc Snowball'!K32,'Calc Cashflow'!K32)</f>
        <v/>
      </c>
      <c r="O26" s="65">
        <f>CHOOSE(Plan!$K$5,'Calc Smart'!L32,'Calc Avalanche'!L32,'Calc Snowball'!L32,'Calc Cashflow'!L32)</f>
        <v/>
      </c>
      <c r="P26" s="65">
        <f>CHOOSE(Plan!$K$5,'Calc Smart'!M32,'Calc Avalanche'!M32,'Calc Snowball'!M32,'Calc Cashflow'!M32)</f>
        <v/>
      </c>
      <c r="Q26" s="65">
        <f>CHOOSE(Plan!$K$5,'Calc Smart'!N32,'Calc Avalanche'!N32,'Calc Snowball'!N32,'Calc Cashflow'!N32)</f>
        <v/>
      </c>
    </row>
    <row r="27">
      <c r="B27" s="66">
        <f>EDATE(Plan!$C$6,21)</f>
        <v/>
      </c>
      <c r="C27" s="32">
        <f>CHOOSE(Plan!$K$5,'Calc Smart'!AE33,'Calc Avalanche'!AE33,'Calc Snowball'!AE33,'Calc Cashflow'!AE33)</f>
        <v/>
      </c>
      <c r="D27" s="32">
        <f>CHOOSE(Plan!$K$5,'Calc Smart'!AD33,'Calc Avalanche'!AD33,'Calc Snowball'!AD33,'Calc Cashflow'!AD33)</f>
        <v/>
      </c>
      <c r="E27" s="43">
        <f>CHOOSE(Plan!$K$5,COUNTIF('Calc Smart'!C33:N33,"&gt;0"),COUNTIF('Calc Avalanche'!C33:N33,"&gt;0"),COUNTIF('Calc Snowball'!C33:N33,"&gt;0"),COUNTIF('Calc Cashflow'!C33:N33,"&gt;0"))</f>
        <v/>
      </c>
      <c r="F27" s="67">
        <f>CHOOSE(Plan!$K$5,'Calc Smart'!C33,'Calc Avalanche'!C33,'Calc Snowball'!C33,'Calc Cashflow'!C33)</f>
        <v/>
      </c>
      <c r="G27" s="67">
        <f>CHOOSE(Plan!$K$5,'Calc Smart'!D33,'Calc Avalanche'!D33,'Calc Snowball'!D33,'Calc Cashflow'!D33)</f>
        <v/>
      </c>
      <c r="H27" s="67">
        <f>CHOOSE(Plan!$K$5,'Calc Smart'!E33,'Calc Avalanche'!E33,'Calc Snowball'!E33,'Calc Cashflow'!E33)</f>
        <v/>
      </c>
      <c r="I27" s="67">
        <f>CHOOSE(Plan!$K$5,'Calc Smart'!F33,'Calc Avalanche'!F33,'Calc Snowball'!F33,'Calc Cashflow'!F33)</f>
        <v/>
      </c>
      <c r="J27" s="67">
        <f>CHOOSE(Plan!$K$5,'Calc Smart'!G33,'Calc Avalanche'!G33,'Calc Snowball'!G33,'Calc Cashflow'!G33)</f>
        <v/>
      </c>
      <c r="K27" s="67">
        <f>CHOOSE(Plan!$K$5,'Calc Smart'!H33,'Calc Avalanche'!H33,'Calc Snowball'!H33,'Calc Cashflow'!H33)</f>
        <v/>
      </c>
      <c r="L27" s="67">
        <f>CHOOSE(Plan!$K$5,'Calc Smart'!I33,'Calc Avalanche'!I33,'Calc Snowball'!I33,'Calc Cashflow'!I33)</f>
        <v/>
      </c>
      <c r="M27" s="67">
        <f>CHOOSE(Plan!$K$5,'Calc Smart'!J33,'Calc Avalanche'!J33,'Calc Snowball'!J33,'Calc Cashflow'!J33)</f>
        <v/>
      </c>
      <c r="N27" s="67">
        <f>CHOOSE(Plan!$K$5,'Calc Smart'!K33,'Calc Avalanche'!K33,'Calc Snowball'!K33,'Calc Cashflow'!K33)</f>
        <v/>
      </c>
      <c r="O27" s="67">
        <f>CHOOSE(Plan!$K$5,'Calc Smart'!L33,'Calc Avalanche'!L33,'Calc Snowball'!L33,'Calc Cashflow'!L33)</f>
        <v/>
      </c>
      <c r="P27" s="67">
        <f>CHOOSE(Plan!$K$5,'Calc Smart'!M33,'Calc Avalanche'!M33,'Calc Snowball'!M33,'Calc Cashflow'!M33)</f>
        <v/>
      </c>
      <c r="Q27" s="67">
        <f>CHOOSE(Plan!$K$5,'Calc Smart'!N33,'Calc Avalanche'!N33,'Calc Snowball'!N33,'Calc Cashflow'!N33)</f>
        <v/>
      </c>
    </row>
    <row r="28">
      <c r="B28" s="64">
        <f>EDATE(Plan!$C$6,22)</f>
        <v/>
      </c>
      <c r="C28" s="31">
        <f>CHOOSE(Plan!$K$5,'Calc Smart'!AE34,'Calc Avalanche'!AE34,'Calc Snowball'!AE34,'Calc Cashflow'!AE34)</f>
        <v/>
      </c>
      <c r="D28" s="31">
        <f>CHOOSE(Plan!$K$5,'Calc Smart'!AD34,'Calc Avalanche'!AD34,'Calc Snowball'!AD34,'Calc Cashflow'!AD34)</f>
        <v/>
      </c>
      <c r="E28" s="40">
        <f>CHOOSE(Plan!$K$5,COUNTIF('Calc Smart'!C34:N34,"&gt;0"),COUNTIF('Calc Avalanche'!C34:N34,"&gt;0"),COUNTIF('Calc Snowball'!C34:N34,"&gt;0"),COUNTIF('Calc Cashflow'!C34:N34,"&gt;0"))</f>
        <v/>
      </c>
      <c r="F28" s="65">
        <f>CHOOSE(Plan!$K$5,'Calc Smart'!C34,'Calc Avalanche'!C34,'Calc Snowball'!C34,'Calc Cashflow'!C34)</f>
        <v/>
      </c>
      <c r="G28" s="65">
        <f>CHOOSE(Plan!$K$5,'Calc Smart'!D34,'Calc Avalanche'!D34,'Calc Snowball'!D34,'Calc Cashflow'!D34)</f>
        <v/>
      </c>
      <c r="H28" s="65">
        <f>CHOOSE(Plan!$K$5,'Calc Smart'!E34,'Calc Avalanche'!E34,'Calc Snowball'!E34,'Calc Cashflow'!E34)</f>
        <v/>
      </c>
      <c r="I28" s="65">
        <f>CHOOSE(Plan!$K$5,'Calc Smart'!F34,'Calc Avalanche'!F34,'Calc Snowball'!F34,'Calc Cashflow'!F34)</f>
        <v/>
      </c>
      <c r="J28" s="65">
        <f>CHOOSE(Plan!$K$5,'Calc Smart'!G34,'Calc Avalanche'!G34,'Calc Snowball'!G34,'Calc Cashflow'!G34)</f>
        <v/>
      </c>
      <c r="K28" s="65">
        <f>CHOOSE(Plan!$K$5,'Calc Smart'!H34,'Calc Avalanche'!H34,'Calc Snowball'!H34,'Calc Cashflow'!H34)</f>
        <v/>
      </c>
      <c r="L28" s="65">
        <f>CHOOSE(Plan!$K$5,'Calc Smart'!I34,'Calc Avalanche'!I34,'Calc Snowball'!I34,'Calc Cashflow'!I34)</f>
        <v/>
      </c>
      <c r="M28" s="65">
        <f>CHOOSE(Plan!$K$5,'Calc Smart'!J34,'Calc Avalanche'!J34,'Calc Snowball'!J34,'Calc Cashflow'!J34)</f>
        <v/>
      </c>
      <c r="N28" s="65">
        <f>CHOOSE(Plan!$K$5,'Calc Smart'!K34,'Calc Avalanche'!K34,'Calc Snowball'!K34,'Calc Cashflow'!K34)</f>
        <v/>
      </c>
      <c r="O28" s="65">
        <f>CHOOSE(Plan!$K$5,'Calc Smart'!L34,'Calc Avalanche'!L34,'Calc Snowball'!L34,'Calc Cashflow'!L34)</f>
        <v/>
      </c>
      <c r="P28" s="65">
        <f>CHOOSE(Plan!$K$5,'Calc Smart'!M34,'Calc Avalanche'!M34,'Calc Snowball'!M34,'Calc Cashflow'!M34)</f>
        <v/>
      </c>
      <c r="Q28" s="65">
        <f>CHOOSE(Plan!$K$5,'Calc Smart'!N34,'Calc Avalanche'!N34,'Calc Snowball'!N34,'Calc Cashflow'!N34)</f>
        <v/>
      </c>
    </row>
    <row r="29">
      <c r="B29" s="66">
        <f>EDATE(Plan!$C$6,23)</f>
        <v/>
      </c>
      <c r="C29" s="32">
        <f>CHOOSE(Plan!$K$5,'Calc Smart'!AE35,'Calc Avalanche'!AE35,'Calc Snowball'!AE35,'Calc Cashflow'!AE35)</f>
        <v/>
      </c>
      <c r="D29" s="32">
        <f>CHOOSE(Plan!$K$5,'Calc Smart'!AD35,'Calc Avalanche'!AD35,'Calc Snowball'!AD35,'Calc Cashflow'!AD35)</f>
        <v/>
      </c>
      <c r="E29" s="43">
        <f>CHOOSE(Plan!$K$5,COUNTIF('Calc Smart'!C35:N35,"&gt;0"),COUNTIF('Calc Avalanche'!C35:N35,"&gt;0"),COUNTIF('Calc Snowball'!C35:N35,"&gt;0"),COUNTIF('Calc Cashflow'!C35:N35,"&gt;0"))</f>
        <v/>
      </c>
      <c r="F29" s="67">
        <f>CHOOSE(Plan!$K$5,'Calc Smart'!C35,'Calc Avalanche'!C35,'Calc Snowball'!C35,'Calc Cashflow'!C35)</f>
        <v/>
      </c>
      <c r="G29" s="67">
        <f>CHOOSE(Plan!$K$5,'Calc Smart'!D35,'Calc Avalanche'!D35,'Calc Snowball'!D35,'Calc Cashflow'!D35)</f>
        <v/>
      </c>
      <c r="H29" s="67">
        <f>CHOOSE(Plan!$K$5,'Calc Smart'!E35,'Calc Avalanche'!E35,'Calc Snowball'!E35,'Calc Cashflow'!E35)</f>
        <v/>
      </c>
      <c r="I29" s="67">
        <f>CHOOSE(Plan!$K$5,'Calc Smart'!F35,'Calc Avalanche'!F35,'Calc Snowball'!F35,'Calc Cashflow'!F35)</f>
        <v/>
      </c>
      <c r="J29" s="67">
        <f>CHOOSE(Plan!$K$5,'Calc Smart'!G35,'Calc Avalanche'!G35,'Calc Snowball'!G35,'Calc Cashflow'!G35)</f>
        <v/>
      </c>
      <c r="K29" s="67">
        <f>CHOOSE(Plan!$K$5,'Calc Smart'!H35,'Calc Avalanche'!H35,'Calc Snowball'!H35,'Calc Cashflow'!H35)</f>
        <v/>
      </c>
      <c r="L29" s="67">
        <f>CHOOSE(Plan!$K$5,'Calc Smart'!I35,'Calc Avalanche'!I35,'Calc Snowball'!I35,'Calc Cashflow'!I35)</f>
        <v/>
      </c>
      <c r="M29" s="67">
        <f>CHOOSE(Plan!$K$5,'Calc Smart'!J35,'Calc Avalanche'!J35,'Calc Snowball'!J35,'Calc Cashflow'!J35)</f>
        <v/>
      </c>
      <c r="N29" s="67">
        <f>CHOOSE(Plan!$K$5,'Calc Smart'!K35,'Calc Avalanche'!K35,'Calc Snowball'!K35,'Calc Cashflow'!K35)</f>
        <v/>
      </c>
      <c r="O29" s="67">
        <f>CHOOSE(Plan!$K$5,'Calc Smart'!L35,'Calc Avalanche'!L35,'Calc Snowball'!L35,'Calc Cashflow'!L35)</f>
        <v/>
      </c>
      <c r="P29" s="67">
        <f>CHOOSE(Plan!$K$5,'Calc Smart'!M35,'Calc Avalanche'!M35,'Calc Snowball'!M35,'Calc Cashflow'!M35)</f>
        <v/>
      </c>
      <c r="Q29" s="67">
        <f>CHOOSE(Plan!$K$5,'Calc Smart'!N35,'Calc Avalanche'!N35,'Calc Snowball'!N35,'Calc Cashflow'!N35)</f>
        <v/>
      </c>
    </row>
    <row r="30">
      <c r="B30" s="64">
        <f>EDATE(Plan!$C$6,24)</f>
        <v/>
      </c>
      <c r="C30" s="31">
        <f>CHOOSE(Plan!$K$5,'Calc Smart'!AE36,'Calc Avalanche'!AE36,'Calc Snowball'!AE36,'Calc Cashflow'!AE36)</f>
        <v/>
      </c>
      <c r="D30" s="31">
        <f>CHOOSE(Plan!$K$5,'Calc Smart'!AD36,'Calc Avalanche'!AD36,'Calc Snowball'!AD36,'Calc Cashflow'!AD36)</f>
        <v/>
      </c>
      <c r="E30" s="40">
        <f>CHOOSE(Plan!$K$5,COUNTIF('Calc Smart'!C36:N36,"&gt;0"),COUNTIF('Calc Avalanche'!C36:N36,"&gt;0"),COUNTIF('Calc Snowball'!C36:N36,"&gt;0"),COUNTIF('Calc Cashflow'!C36:N36,"&gt;0"))</f>
        <v/>
      </c>
      <c r="F30" s="65">
        <f>CHOOSE(Plan!$K$5,'Calc Smart'!C36,'Calc Avalanche'!C36,'Calc Snowball'!C36,'Calc Cashflow'!C36)</f>
        <v/>
      </c>
      <c r="G30" s="65">
        <f>CHOOSE(Plan!$K$5,'Calc Smart'!D36,'Calc Avalanche'!D36,'Calc Snowball'!D36,'Calc Cashflow'!D36)</f>
        <v/>
      </c>
      <c r="H30" s="65">
        <f>CHOOSE(Plan!$K$5,'Calc Smart'!E36,'Calc Avalanche'!E36,'Calc Snowball'!E36,'Calc Cashflow'!E36)</f>
        <v/>
      </c>
      <c r="I30" s="65">
        <f>CHOOSE(Plan!$K$5,'Calc Smart'!F36,'Calc Avalanche'!F36,'Calc Snowball'!F36,'Calc Cashflow'!F36)</f>
        <v/>
      </c>
      <c r="J30" s="65">
        <f>CHOOSE(Plan!$K$5,'Calc Smart'!G36,'Calc Avalanche'!G36,'Calc Snowball'!G36,'Calc Cashflow'!G36)</f>
        <v/>
      </c>
      <c r="K30" s="65">
        <f>CHOOSE(Plan!$K$5,'Calc Smart'!H36,'Calc Avalanche'!H36,'Calc Snowball'!H36,'Calc Cashflow'!H36)</f>
        <v/>
      </c>
      <c r="L30" s="65">
        <f>CHOOSE(Plan!$K$5,'Calc Smart'!I36,'Calc Avalanche'!I36,'Calc Snowball'!I36,'Calc Cashflow'!I36)</f>
        <v/>
      </c>
      <c r="M30" s="65">
        <f>CHOOSE(Plan!$K$5,'Calc Smart'!J36,'Calc Avalanche'!J36,'Calc Snowball'!J36,'Calc Cashflow'!J36)</f>
        <v/>
      </c>
      <c r="N30" s="65">
        <f>CHOOSE(Plan!$K$5,'Calc Smart'!K36,'Calc Avalanche'!K36,'Calc Snowball'!K36,'Calc Cashflow'!K36)</f>
        <v/>
      </c>
      <c r="O30" s="65">
        <f>CHOOSE(Plan!$K$5,'Calc Smart'!L36,'Calc Avalanche'!L36,'Calc Snowball'!L36,'Calc Cashflow'!L36)</f>
        <v/>
      </c>
      <c r="P30" s="65">
        <f>CHOOSE(Plan!$K$5,'Calc Smart'!M36,'Calc Avalanche'!M36,'Calc Snowball'!M36,'Calc Cashflow'!M36)</f>
        <v/>
      </c>
      <c r="Q30" s="65">
        <f>CHOOSE(Plan!$K$5,'Calc Smart'!N36,'Calc Avalanche'!N36,'Calc Snowball'!N36,'Calc Cashflow'!N36)</f>
        <v/>
      </c>
    </row>
    <row r="31">
      <c r="B31" s="66">
        <f>EDATE(Plan!$C$6,25)</f>
        <v/>
      </c>
      <c r="C31" s="32">
        <f>CHOOSE(Plan!$K$5,'Calc Smart'!AE37,'Calc Avalanche'!AE37,'Calc Snowball'!AE37,'Calc Cashflow'!AE37)</f>
        <v/>
      </c>
      <c r="D31" s="32">
        <f>CHOOSE(Plan!$K$5,'Calc Smart'!AD37,'Calc Avalanche'!AD37,'Calc Snowball'!AD37,'Calc Cashflow'!AD37)</f>
        <v/>
      </c>
      <c r="E31" s="43">
        <f>CHOOSE(Plan!$K$5,COUNTIF('Calc Smart'!C37:N37,"&gt;0"),COUNTIF('Calc Avalanche'!C37:N37,"&gt;0"),COUNTIF('Calc Snowball'!C37:N37,"&gt;0"),COUNTIF('Calc Cashflow'!C37:N37,"&gt;0"))</f>
        <v/>
      </c>
      <c r="F31" s="67">
        <f>CHOOSE(Plan!$K$5,'Calc Smart'!C37,'Calc Avalanche'!C37,'Calc Snowball'!C37,'Calc Cashflow'!C37)</f>
        <v/>
      </c>
      <c r="G31" s="67">
        <f>CHOOSE(Plan!$K$5,'Calc Smart'!D37,'Calc Avalanche'!D37,'Calc Snowball'!D37,'Calc Cashflow'!D37)</f>
        <v/>
      </c>
      <c r="H31" s="67">
        <f>CHOOSE(Plan!$K$5,'Calc Smart'!E37,'Calc Avalanche'!E37,'Calc Snowball'!E37,'Calc Cashflow'!E37)</f>
        <v/>
      </c>
      <c r="I31" s="67">
        <f>CHOOSE(Plan!$K$5,'Calc Smart'!F37,'Calc Avalanche'!F37,'Calc Snowball'!F37,'Calc Cashflow'!F37)</f>
        <v/>
      </c>
      <c r="J31" s="67">
        <f>CHOOSE(Plan!$K$5,'Calc Smart'!G37,'Calc Avalanche'!G37,'Calc Snowball'!G37,'Calc Cashflow'!G37)</f>
        <v/>
      </c>
      <c r="K31" s="67">
        <f>CHOOSE(Plan!$K$5,'Calc Smart'!H37,'Calc Avalanche'!H37,'Calc Snowball'!H37,'Calc Cashflow'!H37)</f>
        <v/>
      </c>
      <c r="L31" s="67">
        <f>CHOOSE(Plan!$K$5,'Calc Smart'!I37,'Calc Avalanche'!I37,'Calc Snowball'!I37,'Calc Cashflow'!I37)</f>
        <v/>
      </c>
      <c r="M31" s="67">
        <f>CHOOSE(Plan!$K$5,'Calc Smart'!J37,'Calc Avalanche'!J37,'Calc Snowball'!J37,'Calc Cashflow'!J37)</f>
        <v/>
      </c>
      <c r="N31" s="67">
        <f>CHOOSE(Plan!$K$5,'Calc Smart'!K37,'Calc Avalanche'!K37,'Calc Snowball'!K37,'Calc Cashflow'!K37)</f>
        <v/>
      </c>
      <c r="O31" s="67">
        <f>CHOOSE(Plan!$K$5,'Calc Smart'!L37,'Calc Avalanche'!L37,'Calc Snowball'!L37,'Calc Cashflow'!L37)</f>
        <v/>
      </c>
      <c r="P31" s="67">
        <f>CHOOSE(Plan!$K$5,'Calc Smart'!M37,'Calc Avalanche'!M37,'Calc Snowball'!M37,'Calc Cashflow'!M37)</f>
        <v/>
      </c>
      <c r="Q31" s="67">
        <f>CHOOSE(Plan!$K$5,'Calc Smart'!N37,'Calc Avalanche'!N37,'Calc Snowball'!N37,'Calc Cashflow'!N37)</f>
        <v/>
      </c>
    </row>
    <row r="32">
      <c r="B32" s="64">
        <f>EDATE(Plan!$C$6,26)</f>
        <v/>
      </c>
      <c r="C32" s="31">
        <f>CHOOSE(Plan!$K$5,'Calc Smart'!AE38,'Calc Avalanche'!AE38,'Calc Snowball'!AE38,'Calc Cashflow'!AE38)</f>
        <v/>
      </c>
      <c r="D32" s="31">
        <f>CHOOSE(Plan!$K$5,'Calc Smart'!AD38,'Calc Avalanche'!AD38,'Calc Snowball'!AD38,'Calc Cashflow'!AD38)</f>
        <v/>
      </c>
      <c r="E32" s="40">
        <f>CHOOSE(Plan!$K$5,COUNTIF('Calc Smart'!C38:N38,"&gt;0"),COUNTIF('Calc Avalanche'!C38:N38,"&gt;0"),COUNTIF('Calc Snowball'!C38:N38,"&gt;0"),COUNTIF('Calc Cashflow'!C38:N38,"&gt;0"))</f>
        <v/>
      </c>
      <c r="F32" s="65">
        <f>CHOOSE(Plan!$K$5,'Calc Smart'!C38,'Calc Avalanche'!C38,'Calc Snowball'!C38,'Calc Cashflow'!C38)</f>
        <v/>
      </c>
      <c r="G32" s="65">
        <f>CHOOSE(Plan!$K$5,'Calc Smart'!D38,'Calc Avalanche'!D38,'Calc Snowball'!D38,'Calc Cashflow'!D38)</f>
        <v/>
      </c>
      <c r="H32" s="65">
        <f>CHOOSE(Plan!$K$5,'Calc Smart'!E38,'Calc Avalanche'!E38,'Calc Snowball'!E38,'Calc Cashflow'!E38)</f>
        <v/>
      </c>
      <c r="I32" s="65">
        <f>CHOOSE(Plan!$K$5,'Calc Smart'!F38,'Calc Avalanche'!F38,'Calc Snowball'!F38,'Calc Cashflow'!F38)</f>
        <v/>
      </c>
      <c r="J32" s="65">
        <f>CHOOSE(Plan!$K$5,'Calc Smart'!G38,'Calc Avalanche'!G38,'Calc Snowball'!G38,'Calc Cashflow'!G38)</f>
        <v/>
      </c>
      <c r="K32" s="65">
        <f>CHOOSE(Plan!$K$5,'Calc Smart'!H38,'Calc Avalanche'!H38,'Calc Snowball'!H38,'Calc Cashflow'!H38)</f>
        <v/>
      </c>
      <c r="L32" s="65">
        <f>CHOOSE(Plan!$K$5,'Calc Smart'!I38,'Calc Avalanche'!I38,'Calc Snowball'!I38,'Calc Cashflow'!I38)</f>
        <v/>
      </c>
      <c r="M32" s="65">
        <f>CHOOSE(Plan!$K$5,'Calc Smart'!J38,'Calc Avalanche'!J38,'Calc Snowball'!J38,'Calc Cashflow'!J38)</f>
        <v/>
      </c>
      <c r="N32" s="65">
        <f>CHOOSE(Plan!$K$5,'Calc Smart'!K38,'Calc Avalanche'!K38,'Calc Snowball'!K38,'Calc Cashflow'!K38)</f>
        <v/>
      </c>
      <c r="O32" s="65">
        <f>CHOOSE(Plan!$K$5,'Calc Smart'!L38,'Calc Avalanche'!L38,'Calc Snowball'!L38,'Calc Cashflow'!L38)</f>
        <v/>
      </c>
      <c r="P32" s="65">
        <f>CHOOSE(Plan!$K$5,'Calc Smart'!M38,'Calc Avalanche'!M38,'Calc Snowball'!M38,'Calc Cashflow'!M38)</f>
        <v/>
      </c>
      <c r="Q32" s="65">
        <f>CHOOSE(Plan!$K$5,'Calc Smart'!N38,'Calc Avalanche'!N38,'Calc Snowball'!N38,'Calc Cashflow'!N38)</f>
        <v/>
      </c>
    </row>
    <row r="33">
      <c r="B33" s="66">
        <f>EDATE(Plan!$C$6,27)</f>
        <v/>
      </c>
      <c r="C33" s="32">
        <f>CHOOSE(Plan!$K$5,'Calc Smart'!AE39,'Calc Avalanche'!AE39,'Calc Snowball'!AE39,'Calc Cashflow'!AE39)</f>
        <v/>
      </c>
      <c r="D33" s="32">
        <f>CHOOSE(Plan!$K$5,'Calc Smart'!AD39,'Calc Avalanche'!AD39,'Calc Snowball'!AD39,'Calc Cashflow'!AD39)</f>
        <v/>
      </c>
      <c r="E33" s="43">
        <f>CHOOSE(Plan!$K$5,COUNTIF('Calc Smart'!C39:N39,"&gt;0"),COUNTIF('Calc Avalanche'!C39:N39,"&gt;0"),COUNTIF('Calc Snowball'!C39:N39,"&gt;0"),COUNTIF('Calc Cashflow'!C39:N39,"&gt;0"))</f>
        <v/>
      </c>
      <c r="F33" s="67">
        <f>CHOOSE(Plan!$K$5,'Calc Smart'!C39,'Calc Avalanche'!C39,'Calc Snowball'!C39,'Calc Cashflow'!C39)</f>
        <v/>
      </c>
      <c r="G33" s="67">
        <f>CHOOSE(Plan!$K$5,'Calc Smart'!D39,'Calc Avalanche'!D39,'Calc Snowball'!D39,'Calc Cashflow'!D39)</f>
        <v/>
      </c>
      <c r="H33" s="67">
        <f>CHOOSE(Plan!$K$5,'Calc Smart'!E39,'Calc Avalanche'!E39,'Calc Snowball'!E39,'Calc Cashflow'!E39)</f>
        <v/>
      </c>
      <c r="I33" s="67">
        <f>CHOOSE(Plan!$K$5,'Calc Smart'!F39,'Calc Avalanche'!F39,'Calc Snowball'!F39,'Calc Cashflow'!F39)</f>
        <v/>
      </c>
      <c r="J33" s="67">
        <f>CHOOSE(Plan!$K$5,'Calc Smart'!G39,'Calc Avalanche'!G39,'Calc Snowball'!G39,'Calc Cashflow'!G39)</f>
        <v/>
      </c>
      <c r="K33" s="67">
        <f>CHOOSE(Plan!$K$5,'Calc Smart'!H39,'Calc Avalanche'!H39,'Calc Snowball'!H39,'Calc Cashflow'!H39)</f>
        <v/>
      </c>
      <c r="L33" s="67">
        <f>CHOOSE(Plan!$K$5,'Calc Smart'!I39,'Calc Avalanche'!I39,'Calc Snowball'!I39,'Calc Cashflow'!I39)</f>
        <v/>
      </c>
      <c r="M33" s="67">
        <f>CHOOSE(Plan!$K$5,'Calc Smart'!J39,'Calc Avalanche'!J39,'Calc Snowball'!J39,'Calc Cashflow'!J39)</f>
        <v/>
      </c>
      <c r="N33" s="67">
        <f>CHOOSE(Plan!$K$5,'Calc Smart'!K39,'Calc Avalanche'!K39,'Calc Snowball'!K39,'Calc Cashflow'!K39)</f>
        <v/>
      </c>
      <c r="O33" s="67">
        <f>CHOOSE(Plan!$K$5,'Calc Smart'!L39,'Calc Avalanche'!L39,'Calc Snowball'!L39,'Calc Cashflow'!L39)</f>
        <v/>
      </c>
      <c r="P33" s="67">
        <f>CHOOSE(Plan!$K$5,'Calc Smart'!M39,'Calc Avalanche'!M39,'Calc Snowball'!M39,'Calc Cashflow'!M39)</f>
        <v/>
      </c>
      <c r="Q33" s="67">
        <f>CHOOSE(Plan!$K$5,'Calc Smart'!N39,'Calc Avalanche'!N39,'Calc Snowball'!N39,'Calc Cashflow'!N39)</f>
        <v/>
      </c>
    </row>
    <row r="34">
      <c r="B34" s="64">
        <f>EDATE(Plan!$C$6,28)</f>
        <v/>
      </c>
      <c r="C34" s="31">
        <f>CHOOSE(Plan!$K$5,'Calc Smart'!AE40,'Calc Avalanche'!AE40,'Calc Snowball'!AE40,'Calc Cashflow'!AE40)</f>
        <v/>
      </c>
      <c r="D34" s="31">
        <f>CHOOSE(Plan!$K$5,'Calc Smart'!AD40,'Calc Avalanche'!AD40,'Calc Snowball'!AD40,'Calc Cashflow'!AD40)</f>
        <v/>
      </c>
      <c r="E34" s="40">
        <f>CHOOSE(Plan!$K$5,COUNTIF('Calc Smart'!C40:N40,"&gt;0"),COUNTIF('Calc Avalanche'!C40:N40,"&gt;0"),COUNTIF('Calc Snowball'!C40:N40,"&gt;0"),COUNTIF('Calc Cashflow'!C40:N40,"&gt;0"))</f>
        <v/>
      </c>
      <c r="F34" s="65">
        <f>CHOOSE(Plan!$K$5,'Calc Smart'!C40,'Calc Avalanche'!C40,'Calc Snowball'!C40,'Calc Cashflow'!C40)</f>
        <v/>
      </c>
      <c r="G34" s="65">
        <f>CHOOSE(Plan!$K$5,'Calc Smart'!D40,'Calc Avalanche'!D40,'Calc Snowball'!D40,'Calc Cashflow'!D40)</f>
        <v/>
      </c>
      <c r="H34" s="65">
        <f>CHOOSE(Plan!$K$5,'Calc Smart'!E40,'Calc Avalanche'!E40,'Calc Snowball'!E40,'Calc Cashflow'!E40)</f>
        <v/>
      </c>
      <c r="I34" s="65">
        <f>CHOOSE(Plan!$K$5,'Calc Smart'!F40,'Calc Avalanche'!F40,'Calc Snowball'!F40,'Calc Cashflow'!F40)</f>
        <v/>
      </c>
      <c r="J34" s="65">
        <f>CHOOSE(Plan!$K$5,'Calc Smart'!G40,'Calc Avalanche'!G40,'Calc Snowball'!G40,'Calc Cashflow'!G40)</f>
        <v/>
      </c>
      <c r="K34" s="65">
        <f>CHOOSE(Plan!$K$5,'Calc Smart'!H40,'Calc Avalanche'!H40,'Calc Snowball'!H40,'Calc Cashflow'!H40)</f>
        <v/>
      </c>
      <c r="L34" s="65">
        <f>CHOOSE(Plan!$K$5,'Calc Smart'!I40,'Calc Avalanche'!I40,'Calc Snowball'!I40,'Calc Cashflow'!I40)</f>
        <v/>
      </c>
      <c r="M34" s="65">
        <f>CHOOSE(Plan!$K$5,'Calc Smart'!J40,'Calc Avalanche'!J40,'Calc Snowball'!J40,'Calc Cashflow'!J40)</f>
        <v/>
      </c>
      <c r="N34" s="65">
        <f>CHOOSE(Plan!$K$5,'Calc Smart'!K40,'Calc Avalanche'!K40,'Calc Snowball'!K40,'Calc Cashflow'!K40)</f>
        <v/>
      </c>
      <c r="O34" s="65">
        <f>CHOOSE(Plan!$K$5,'Calc Smart'!L40,'Calc Avalanche'!L40,'Calc Snowball'!L40,'Calc Cashflow'!L40)</f>
        <v/>
      </c>
      <c r="P34" s="65">
        <f>CHOOSE(Plan!$K$5,'Calc Smart'!M40,'Calc Avalanche'!M40,'Calc Snowball'!M40,'Calc Cashflow'!M40)</f>
        <v/>
      </c>
      <c r="Q34" s="65">
        <f>CHOOSE(Plan!$K$5,'Calc Smart'!N40,'Calc Avalanche'!N40,'Calc Snowball'!N40,'Calc Cashflow'!N40)</f>
        <v/>
      </c>
    </row>
    <row r="35">
      <c r="B35" s="66">
        <f>EDATE(Plan!$C$6,29)</f>
        <v/>
      </c>
      <c r="C35" s="32">
        <f>CHOOSE(Plan!$K$5,'Calc Smart'!AE41,'Calc Avalanche'!AE41,'Calc Snowball'!AE41,'Calc Cashflow'!AE41)</f>
        <v/>
      </c>
      <c r="D35" s="32">
        <f>CHOOSE(Plan!$K$5,'Calc Smart'!AD41,'Calc Avalanche'!AD41,'Calc Snowball'!AD41,'Calc Cashflow'!AD41)</f>
        <v/>
      </c>
      <c r="E35" s="43">
        <f>CHOOSE(Plan!$K$5,COUNTIF('Calc Smart'!C41:N41,"&gt;0"),COUNTIF('Calc Avalanche'!C41:N41,"&gt;0"),COUNTIF('Calc Snowball'!C41:N41,"&gt;0"),COUNTIF('Calc Cashflow'!C41:N41,"&gt;0"))</f>
        <v/>
      </c>
      <c r="F35" s="67">
        <f>CHOOSE(Plan!$K$5,'Calc Smart'!C41,'Calc Avalanche'!C41,'Calc Snowball'!C41,'Calc Cashflow'!C41)</f>
        <v/>
      </c>
      <c r="G35" s="67">
        <f>CHOOSE(Plan!$K$5,'Calc Smart'!D41,'Calc Avalanche'!D41,'Calc Snowball'!D41,'Calc Cashflow'!D41)</f>
        <v/>
      </c>
      <c r="H35" s="67">
        <f>CHOOSE(Plan!$K$5,'Calc Smart'!E41,'Calc Avalanche'!E41,'Calc Snowball'!E41,'Calc Cashflow'!E41)</f>
        <v/>
      </c>
      <c r="I35" s="67">
        <f>CHOOSE(Plan!$K$5,'Calc Smart'!F41,'Calc Avalanche'!F41,'Calc Snowball'!F41,'Calc Cashflow'!F41)</f>
        <v/>
      </c>
      <c r="J35" s="67">
        <f>CHOOSE(Plan!$K$5,'Calc Smart'!G41,'Calc Avalanche'!G41,'Calc Snowball'!G41,'Calc Cashflow'!G41)</f>
        <v/>
      </c>
      <c r="K35" s="67">
        <f>CHOOSE(Plan!$K$5,'Calc Smart'!H41,'Calc Avalanche'!H41,'Calc Snowball'!H41,'Calc Cashflow'!H41)</f>
        <v/>
      </c>
      <c r="L35" s="67">
        <f>CHOOSE(Plan!$K$5,'Calc Smart'!I41,'Calc Avalanche'!I41,'Calc Snowball'!I41,'Calc Cashflow'!I41)</f>
        <v/>
      </c>
      <c r="M35" s="67">
        <f>CHOOSE(Plan!$K$5,'Calc Smart'!J41,'Calc Avalanche'!J41,'Calc Snowball'!J41,'Calc Cashflow'!J41)</f>
        <v/>
      </c>
      <c r="N35" s="67">
        <f>CHOOSE(Plan!$K$5,'Calc Smart'!K41,'Calc Avalanche'!K41,'Calc Snowball'!K41,'Calc Cashflow'!K41)</f>
        <v/>
      </c>
      <c r="O35" s="67">
        <f>CHOOSE(Plan!$K$5,'Calc Smart'!L41,'Calc Avalanche'!L41,'Calc Snowball'!L41,'Calc Cashflow'!L41)</f>
        <v/>
      </c>
      <c r="P35" s="67">
        <f>CHOOSE(Plan!$K$5,'Calc Smart'!M41,'Calc Avalanche'!M41,'Calc Snowball'!M41,'Calc Cashflow'!M41)</f>
        <v/>
      </c>
      <c r="Q35" s="67">
        <f>CHOOSE(Plan!$K$5,'Calc Smart'!N41,'Calc Avalanche'!N41,'Calc Snowball'!N41,'Calc Cashflow'!N41)</f>
        <v/>
      </c>
    </row>
    <row r="36">
      <c r="B36" s="64">
        <f>EDATE(Plan!$C$6,30)</f>
        <v/>
      </c>
      <c r="C36" s="31">
        <f>CHOOSE(Plan!$K$5,'Calc Smart'!AE42,'Calc Avalanche'!AE42,'Calc Snowball'!AE42,'Calc Cashflow'!AE42)</f>
        <v/>
      </c>
      <c r="D36" s="31">
        <f>CHOOSE(Plan!$K$5,'Calc Smart'!AD42,'Calc Avalanche'!AD42,'Calc Snowball'!AD42,'Calc Cashflow'!AD42)</f>
        <v/>
      </c>
      <c r="E36" s="40">
        <f>CHOOSE(Plan!$K$5,COUNTIF('Calc Smart'!C42:N42,"&gt;0"),COUNTIF('Calc Avalanche'!C42:N42,"&gt;0"),COUNTIF('Calc Snowball'!C42:N42,"&gt;0"),COUNTIF('Calc Cashflow'!C42:N42,"&gt;0"))</f>
        <v/>
      </c>
      <c r="F36" s="65">
        <f>CHOOSE(Plan!$K$5,'Calc Smart'!C42,'Calc Avalanche'!C42,'Calc Snowball'!C42,'Calc Cashflow'!C42)</f>
        <v/>
      </c>
      <c r="G36" s="65">
        <f>CHOOSE(Plan!$K$5,'Calc Smart'!D42,'Calc Avalanche'!D42,'Calc Snowball'!D42,'Calc Cashflow'!D42)</f>
        <v/>
      </c>
      <c r="H36" s="65">
        <f>CHOOSE(Plan!$K$5,'Calc Smart'!E42,'Calc Avalanche'!E42,'Calc Snowball'!E42,'Calc Cashflow'!E42)</f>
        <v/>
      </c>
      <c r="I36" s="65">
        <f>CHOOSE(Plan!$K$5,'Calc Smart'!F42,'Calc Avalanche'!F42,'Calc Snowball'!F42,'Calc Cashflow'!F42)</f>
        <v/>
      </c>
      <c r="J36" s="65">
        <f>CHOOSE(Plan!$K$5,'Calc Smart'!G42,'Calc Avalanche'!G42,'Calc Snowball'!G42,'Calc Cashflow'!G42)</f>
        <v/>
      </c>
      <c r="K36" s="65">
        <f>CHOOSE(Plan!$K$5,'Calc Smart'!H42,'Calc Avalanche'!H42,'Calc Snowball'!H42,'Calc Cashflow'!H42)</f>
        <v/>
      </c>
      <c r="L36" s="65">
        <f>CHOOSE(Plan!$K$5,'Calc Smart'!I42,'Calc Avalanche'!I42,'Calc Snowball'!I42,'Calc Cashflow'!I42)</f>
        <v/>
      </c>
      <c r="M36" s="65">
        <f>CHOOSE(Plan!$K$5,'Calc Smart'!J42,'Calc Avalanche'!J42,'Calc Snowball'!J42,'Calc Cashflow'!J42)</f>
        <v/>
      </c>
      <c r="N36" s="65">
        <f>CHOOSE(Plan!$K$5,'Calc Smart'!K42,'Calc Avalanche'!K42,'Calc Snowball'!K42,'Calc Cashflow'!K42)</f>
        <v/>
      </c>
      <c r="O36" s="65">
        <f>CHOOSE(Plan!$K$5,'Calc Smart'!L42,'Calc Avalanche'!L42,'Calc Snowball'!L42,'Calc Cashflow'!L42)</f>
        <v/>
      </c>
      <c r="P36" s="65">
        <f>CHOOSE(Plan!$K$5,'Calc Smart'!M42,'Calc Avalanche'!M42,'Calc Snowball'!M42,'Calc Cashflow'!M42)</f>
        <v/>
      </c>
      <c r="Q36" s="65">
        <f>CHOOSE(Plan!$K$5,'Calc Smart'!N42,'Calc Avalanche'!N42,'Calc Snowball'!N42,'Calc Cashflow'!N42)</f>
        <v/>
      </c>
    </row>
    <row r="37">
      <c r="B37" s="66">
        <f>EDATE(Plan!$C$6,31)</f>
        <v/>
      </c>
      <c r="C37" s="32">
        <f>CHOOSE(Plan!$K$5,'Calc Smart'!AE43,'Calc Avalanche'!AE43,'Calc Snowball'!AE43,'Calc Cashflow'!AE43)</f>
        <v/>
      </c>
      <c r="D37" s="32">
        <f>CHOOSE(Plan!$K$5,'Calc Smart'!AD43,'Calc Avalanche'!AD43,'Calc Snowball'!AD43,'Calc Cashflow'!AD43)</f>
        <v/>
      </c>
      <c r="E37" s="43">
        <f>CHOOSE(Plan!$K$5,COUNTIF('Calc Smart'!C43:N43,"&gt;0"),COUNTIF('Calc Avalanche'!C43:N43,"&gt;0"),COUNTIF('Calc Snowball'!C43:N43,"&gt;0"),COUNTIF('Calc Cashflow'!C43:N43,"&gt;0"))</f>
        <v/>
      </c>
      <c r="F37" s="67">
        <f>CHOOSE(Plan!$K$5,'Calc Smart'!C43,'Calc Avalanche'!C43,'Calc Snowball'!C43,'Calc Cashflow'!C43)</f>
        <v/>
      </c>
      <c r="G37" s="67">
        <f>CHOOSE(Plan!$K$5,'Calc Smart'!D43,'Calc Avalanche'!D43,'Calc Snowball'!D43,'Calc Cashflow'!D43)</f>
        <v/>
      </c>
      <c r="H37" s="67">
        <f>CHOOSE(Plan!$K$5,'Calc Smart'!E43,'Calc Avalanche'!E43,'Calc Snowball'!E43,'Calc Cashflow'!E43)</f>
        <v/>
      </c>
      <c r="I37" s="67">
        <f>CHOOSE(Plan!$K$5,'Calc Smart'!F43,'Calc Avalanche'!F43,'Calc Snowball'!F43,'Calc Cashflow'!F43)</f>
        <v/>
      </c>
      <c r="J37" s="67">
        <f>CHOOSE(Plan!$K$5,'Calc Smart'!G43,'Calc Avalanche'!G43,'Calc Snowball'!G43,'Calc Cashflow'!G43)</f>
        <v/>
      </c>
      <c r="K37" s="67">
        <f>CHOOSE(Plan!$K$5,'Calc Smart'!H43,'Calc Avalanche'!H43,'Calc Snowball'!H43,'Calc Cashflow'!H43)</f>
        <v/>
      </c>
      <c r="L37" s="67">
        <f>CHOOSE(Plan!$K$5,'Calc Smart'!I43,'Calc Avalanche'!I43,'Calc Snowball'!I43,'Calc Cashflow'!I43)</f>
        <v/>
      </c>
      <c r="M37" s="67">
        <f>CHOOSE(Plan!$K$5,'Calc Smart'!J43,'Calc Avalanche'!J43,'Calc Snowball'!J43,'Calc Cashflow'!J43)</f>
        <v/>
      </c>
      <c r="N37" s="67">
        <f>CHOOSE(Plan!$K$5,'Calc Smart'!K43,'Calc Avalanche'!K43,'Calc Snowball'!K43,'Calc Cashflow'!K43)</f>
        <v/>
      </c>
      <c r="O37" s="67">
        <f>CHOOSE(Plan!$K$5,'Calc Smart'!L43,'Calc Avalanche'!L43,'Calc Snowball'!L43,'Calc Cashflow'!L43)</f>
        <v/>
      </c>
      <c r="P37" s="67">
        <f>CHOOSE(Plan!$K$5,'Calc Smart'!M43,'Calc Avalanche'!M43,'Calc Snowball'!M43,'Calc Cashflow'!M43)</f>
        <v/>
      </c>
      <c r="Q37" s="67">
        <f>CHOOSE(Plan!$K$5,'Calc Smart'!N43,'Calc Avalanche'!N43,'Calc Snowball'!N43,'Calc Cashflow'!N43)</f>
        <v/>
      </c>
    </row>
    <row r="38">
      <c r="B38" s="64">
        <f>EDATE(Plan!$C$6,32)</f>
        <v/>
      </c>
      <c r="C38" s="31">
        <f>CHOOSE(Plan!$K$5,'Calc Smart'!AE44,'Calc Avalanche'!AE44,'Calc Snowball'!AE44,'Calc Cashflow'!AE44)</f>
        <v/>
      </c>
      <c r="D38" s="31">
        <f>CHOOSE(Plan!$K$5,'Calc Smart'!AD44,'Calc Avalanche'!AD44,'Calc Snowball'!AD44,'Calc Cashflow'!AD44)</f>
        <v/>
      </c>
      <c r="E38" s="40">
        <f>CHOOSE(Plan!$K$5,COUNTIF('Calc Smart'!C44:N44,"&gt;0"),COUNTIF('Calc Avalanche'!C44:N44,"&gt;0"),COUNTIF('Calc Snowball'!C44:N44,"&gt;0"),COUNTIF('Calc Cashflow'!C44:N44,"&gt;0"))</f>
        <v/>
      </c>
      <c r="F38" s="65">
        <f>CHOOSE(Plan!$K$5,'Calc Smart'!C44,'Calc Avalanche'!C44,'Calc Snowball'!C44,'Calc Cashflow'!C44)</f>
        <v/>
      </c>
      <c r="G38" s="65">
        <f>CHOOSE(Plan!$K$5,'Calc Smart'!D44,'Calc Avalanche'!D44,'Calc Snowball'!D44,'Calc Cashflow'!D44)</f>
        <v/>
      </c>
      <c r="H38" s="65">
        <f>CHOOSE(Plan!$K$5,'Calc Smart'!E44,'Calc Avalanche'!E44,'Calc Snowball'!E44,'Calc Cashflow'!E44)</f>
        <v/>
      </c>
      <c r="I38" s="65">
        <f>CHOOSE(Plan!$K$5,'Calc Smart'!F44,'Calc Avalanche'!F44,'Calc Snowball'!F44,'Calc Cashflow'!F44)</f>
        <v/>
      </c>
      <c r="J38" s="65">
        <f>CHOOSE(Plan!$K$5,'Calc Smart'!G44,'Calc Avalanche'!G44,'Calc Snowball'!G44,'Calc Cashflow'!G44)</f>
        <v/>
      </c>
      <c r="K38" s="65">
        <f>CHOOSE(Plan!$K$5,'Calc Smart'!H44,'Calc Avalanche'!H44,'Calc Snowball'!H44,'Calc Cashflow'!H44)</f>
        <v/>
      </c>
      <c r="L38" s="65">
        <f>CHOOSE(Plan!$K$5,'Calc Smart'!I44,'Calc Avalanche'!I44,'Calc Snowball'!I44,'Calc Cashflow'!I44)</f>
        <v/>
      </c>
      <c r="M38" s="65">
        <f>CHOOSE(Plan!$K$5,'Calc Smart'!J44,'Calc Avalanche'!J44,'Calc Snowball'!J44,'Calc Cashflow'!J44)</f>
        <v/>
      </c>
      <c r="N38" s="65">
        <f>CHOOSE(Plan!$K$5,'Calc Smart'!K44,'Calc Avalanche'!K44,'Calc Snowball'!K44,'Calc Cashflow'!K44)</f>
        <v/>
      </c>
      <c r="O38" s="65">
        <f>CHOOSE(Plan!$K$5,'Calc Smart'!L44,'Calc Avalanche'!L44,'Calc Snowball'!L44,'Calc Cashflow'!L44)</f>
        <v/>
      </c>
      <c r="P38" s="65">
        <f>CHOOSE(Plan!$K$5,'Calc Smart'!M44,'Calc Avalanche'!M44,'Calc Snowball'!M44,'Calc Cashflow'!M44)</f>
        <v/>
      </c>
      <c r="Q38" s="65">
        <f>CHOOSE(Plan!$K$5,'Calc Smart'!N44,'Calc Avalanche'!N44,'Calc Snowball'!N44,'Calc Cashflow'!N44)</f>
        <v/>
      </c>
    </row>
    <row r="39">
      <c r="B39" s="66">
        <f>EDATE(Plan!$C$6,33)</f>
        <v/>
      </c>
      <c r="C39" s="32">
        <f>CHOOSE(Plan!$K$5,'Calc Smart'!AE45,'Calc Avalanche'!AE45,'Calc Snowball'!AE45,'Calc Cashflow'!AE45)</f>
        <v/>
      </c>
      <c r="D39" s="32">
        <f>CHOOSE(Plan!$K$5,'Calc Smart'!AD45,'Calc Avalanche'!AD45,'Calc Snowball'!AD45,'Calc Cashflow'!AD45)</f>
        <v/>
      </c>
      <c r="E39" s="43">
        <f>CHOOSE(Plan!$K$5,COUNTIF('Calc Smart'!C45:N45,"&gt;0"),COUNTIF('Calc Avalanche'!C45:N45,"&gt;0"),COUNTIF('Calc Snowball'!C45:N45,"&gt;0"),COUNTIF('Calc Cashflow'!C45:N45,"&gt;0"))</f>
        <v/>
      </c>
      <c r="F39" s="67">
        <f>CHOOSE(Plan!$K$5,'Calc Smart'!C45,'Calc Avalanche'!C45,'Calc Snowball'!C45,'Calc Cashflow'!C45)</f>
        <v/>
      </c>
      <c r="G39" s="67">
        <f>CHOOSE(Plan!$K$5,'Calc Smart'!D45,'Calc Avalanche'!D45,'Calc Snowball'!D45,'Calc Cashflow'!D45)</f>
        <v/>
      </c>
      <c r="H39" s="67">
        <f>CHOOSE(Plan!$K$5,'Calc Smart'!E45,'Calc Avalanche'!E45,'Calc Snowball'!E45,'Calc Cashflow'!E45)</f>
        <v/>
      </c>
      <c r="I39" s="67">
        <f>CHOOSE(Plan!$K$5,'Calc Smart'!F45,'Calc Avalanche'!F45,'Calc Snowball'!F45,'Calc Cashflow'!F45)</f>
        <v/>
      </c>
      <c r="J39" s="67">
        <f>CHOOSE(Plan!$K$5,'Calc Smart'!G45,'Calc Avalanche'!G45,'Calc Snowball'!G45,'Calc Cashflow'!G45)</f>
        <v/>
      </c>
      <c r="K39" s="67">
        <f>CHOOSE(Plan!$K$5,'Calc Smart'!H45,'Calc Avalanche'!H45,'Calc Snowball'!H45,'Calc Cashflow'!H45)</f>
        <v/>
      </c>
      <c r="L39" s="67">
        <f>CHOOSE(Plan!$K$5,'Calc Smart'!I45,'Calc Avalanche'!I45,'Calc Snowball'!I45,'Calc Cashflow'!I45)</f>
        <v/>
      </c>
      <c r="M39" s="67">
        <f>CHOOSE(Plan!$K$5,'Calc Smart'!J45,'Calc Avalanche'!J45,'Calc Snowball'!J45,'Calc Cashflow'!J45)</f>
        <v/>
      </c>
      <c r="N39" s="67">
        <f>CHOOSE(Plan!$K$5,'Calc Smart'!K45,'Calc Avalanche'!K45,'Calc Snowball'!K45,'Calc Cashflow'!K45)</f>
        <v/>
      </c>
      <c r="O39" s="67">
        <f>CHOOSE(Plan!$K$5,'Calc Smart'!L45,'Calc Avalanche'!L45,'Calc Snowball'!L45,'Calc Cashflow'!L45)</f>
        <v/>
      </c>
      <c r="P39" s="67">
        <f>CHOOSE(Plan!$K$5,'Calc Smart'!M45,'Calc Avalanche'!M45,'Calc Snowball'!M45,'Calc Cashflow'!M45)</f>
        <v/>
      </c>
      <c r="Q39" s="67">
        <f>CHOOSE(Plan!$K$5,'Calc Smart'!N45,'Calc Avalanche'!N45,'Calc Snowball'!N45,'Calc Cashflow'!N45)</f>
        <v/>
      </c>
    </row>
    <row r="40">
      <c r="B40" s="64">
        <f>EDATE(Plan!$C$6,34)</f>
        <v/>
      </c>
      <c r="C40" s="31">
        <f>CHOOSE(Plan!$K$5,'Calc Smart'!AE46,'Calc Avalanche'!AE46,'Calc Snowball'!AE46,'Calc Cashflow'!AE46)</f>
        <v/>
      </c>
      <c r="D40" s="31">
        <f>CHOOSE(Plan!$K$5,'Calc Smart'!AD46,'Calc Avalanche'!AD46,'Calc Snowball'!AD46,'Calc Cashflow'!AD46)</f>
        <v/>
      </c>
      <c r="E40" s="40">
        <f>CHOOSE(Plan!$K$5,COUNTIF('Calc Smart'!C46:N46,"&gt;0"),COUNTIF('Calc Avalanche'!C46:N46,"&gt;0"),COUNTIF('Calc Snowball'!C46:N46,"&gt;0"),COUNTIF('Calc Cashflow'!C46:N46,"&gt;0"))</f>
        <v/>
      </c>
      <c r="F40" s="65">
        <f>CHOOSE(Plan!$K$5,'Calc Smart'!C46,'Calc Avalanche'!C46,'Calc Snowball'!C46,'Calc Cashflow'!C46)</f>
        <v/>
      </c>
      <c r="G40" s="65">
        <f>CHOOSE(Plan!$K$5,'Calc Smart'!D46,'Calc Avalanche'!D46,'Calc Snowball'!D46,'Calc Cashflow'!D46)</f>
        <v/>
      </c>
      <c r="H40" s="65">
        <f>CHOOSE(Plan!$K$5,'Calc Smart'!E46,'Calc Avalanche'!E46,'Calc Snowball'!E46,'Calc Cashflow'!E46)</f>
        <v/>
      </c>
      <c r="I40" s="65">
        <f>CHOOSE(Plan!$K$5,'Calc Smart'!F46,'Calc Avalanche'!F46,'Calc Snowball'!F46,'Calc Cashflow'!F46)</f>
        <v/>
      </c>
      <c r="J40" s="65">
        <f>CHOOSE(Plan!$K$5,'Calc Smart'!G46,'Calc Avalanche'!G46,'Calc Snowball'!G46,'Calc Cashflow'!G46)</f>
        <v/>
      </c>
      <c r="K40" s="65">
        <f>CHOOSE(Plan!$K$5,'Calc Smart'!H46,'Calc Avalanche'!H46,'Calc Snowball'!H46,'Calc Cashflow'!H46)</f>
        <v/>
      </c>
      <c r="L40" s="65">
        <f>CHOOSE(Plan!$K$5,'Calc Smart'!I46,'Calc Avalanche'!I46,'Calc Snowball'!I46,'Calc Cashflow'!I46)</f>
        <v/>
      </c>
      <c r="M40" s="65">
        <f>CHOOSE(Plan!$K$5,'Calc Smart'!J46,'Calc Avalanche'!J46,'Calc Snowball'!J46,'Calc Cashflow'!J46)</f>
        <v/>
      </c>
      <c r="N40" s="65">
        <f>CHOOSE(Plan!$K$5,'Calc Smart'!K46,'Calc Avalanche'!K46,'Calc Snowball'!K46,'Calc Cashflow'!K46)</f>
        <v/>
      </c>
      <c r="O40" s="65">
        <f>CHOOSE(Plan!$K$5,'Calc Smart'!L46,'Calc Avalanche'!L46,'Calc Snowball'!L46,'Calc Cashflow'!L46)</f>
        <v/>
      </c>
      <c r="P40" s="65">
        <f>CHOOSE(Plan!$K$5,'Calc Smart'!M46,'Calc Avalanche'!M46,'Calc Snowball'!M46,'Calc Cashflow'!M46)</f>
        <v/>
      </c>
      <c r="Q40" s="65">
        <f>CHOOSE(Plan!$K$5,'Calc Smart'!N46,'Calc Avalanche'!N46,'Calc Snowball'!N46,'Calc Cashflow'!N46)</f>
        <v/>
      </c>
    </row>
    <row r="41">
      <c r="B41" s="66">
        <f>EDATE(Plan!$C$6,35)</f>
        <v/>
      </c>
      <c r="C41" s="32">
        <f>CHOOSE(Plan!$K$5,'Calc Smart'!AE47,'Calc Avalanche'!AE47,'Calc Snowball'!AE47,'Calc Cashflow'!AE47)</f>
        <v/>
      </c>
      <c r="D41" s="32">
        <f>CHOOSE(Plan!$K$5,'Calc Smart'!AD47,'Calc Avalanche'!AD47,'Calc Snowball'!AD47,'Calc Cashflow'!AD47)</f>
        <v/>
      </c>
      <c r="E41" s="43">
        <f>CHOOSE(Plan!$K$5,COUNTIF('Calc Smart'!C47:N47,"&gt;0"),COUNTIF('Calc Avalanche'!C47:N47,"&gt;0"),COUNTIF('Calc Snowball'!C47:N47,"&gt;0"),COUNTIF('Calc Cashflow'!C47:N47,"&gt;0"))</f>
        <v/>
      </c>
      <c r="F41" s="67">
        <f>CHOOSE(Plan!$K$5,'Calc Smart'!C47,'Calc Avalanche'!C47,'Calc Snowball'!C47,'Calc Cashflow'!C47)</f>
        <v/>
      </c>
      <c r="G41" s="67">
        <f>CHOOSE(Plan!$K$5,'Calc Smart'!D47,'Calc Avalanche'!D47,'Calc Snowball'!D47,'Calc Cashflow'!D47)</f>
        <v/>
      </c>
      <c r="H41" s="67">
        <f>CHOOSE(Plan!$K$5,'Calc Smart'!E47,'Calc Avalanche'!E47,'Calc Snowball'!E47,'Calc Cashflow'!E47)</f>
        <v/>
      </c>
      <c r="I41" s="67">
        <f>CHOOSE(Plan!$K$5,'Calc Smart'!F47,'Calc Avalanche'!F47,'Calc Snowball'!F47,'Calc Cashflow'!F47)</f>
        <v/>
      </c>
      <c r="J41" s="67">
        <f>CHOOSE(Plan!$K$5,'Calc Smart'!G47,'Calc Avalanche'!G47,'Calc Snowball'!G47,'Calc Cashflow'!G47)</f>
        <v/>
      </c>
      <c r="K41" s="67">
        <f>CHOOSE(Plan!$K$5,'Calc Smart'!H47,'Calc Avalanche'!H47,'Calc Snowball'!H47,'Calc Cashflow'!H47)</f>
        <v/>
      </c>
      <c r="L41" s="67">
        <f>CHOOSE(Plan!$K$5,'Calc Smart'!I47,'Calc Avalanche'!I47,'Calc Snowball'!I47,'Calc Cashflow'!I47)</f>
        <v/>
      </c>
      <c r="M41" s="67">
        <f>CHOOSE(Plan!$K$5,'Calc Smart'!J47,'Calc Avalanche'!J47,'Calc Snowball'!J47,'Calc Cashflow'!J47)</f>
        <v/>
      </c>
      <c r="N41" s="67">
        <f>CHOOSE(Plan!$K$5,'Calc Smart'!K47,'Calc Avalanche'!K47,'Calc Snowball'!K47,'Calc Cashflow'!K47)</f>
        <v/>
      </c>
      <c r="O41" s="67">
        <f>CHOOSE(Plan!$K$5,'Calc Smart'!L47,'Calc Avalanche'!L47,'Calc Snowball'!L47,'Calc Cashflow'!L47)</f>
        <v/>
      </c>
      <c r="P41" s="67">
        <f>CHOOSE(Plan!$K$5,'Calc Smart'!M47,'Calc Avalanche'!M47,'Calc Snowball'!M47,'Calc Cashflow'!M47)</f>
        <v/>
      </c>
      <c r="Q41" s="67">
        <f>CHOOSE(Plan!$K$5,'Calc Smart'!N47,'Calc Avalanche'!N47,'Calc Snowball'!N47,'Calc Cashflow'!N47)</f>
        <v/>
      </c>
    </row>
    <row r="42">
      <c r="B42" s="64">
        <f>EDATE(Plan!$C$6,36)</f>
        <v/>
      </c>
      <c r="C42" s="31">
        <f>CHOOSE(Plan!$K$5,'Calc Smart'!AE48,'Calc Avalanche'!AE48,'Calc Snowball'!AE48,'Calc Cashflow'!AE48)</f>
        <v/>
      </c>
      <c r="D42" s="31">
        <f>CHOOSE(Plan!$K$5,'Calc Smart'!AD48,'Calc Avalanche'!AD48,'Calc Snowball'!AD48,'Calc Cashflow'!AD48)</f>
        <v/>
      </c>
      <c r="E42" s="40">
        <f>CHOOSE(Plan!$K$5,COUNTIF('Calc Smart'!C48:N48,"&gt;0"),COUNTIF('Calc Avalanche'!C48:N48,"&gt;0"),COUNTIF('Calc Snowball'!C48:N48,"&gt;0"),COUNTIF('Calc Cashflow'!C48:N48,"&gt;0"))</f>
        <v/>
      </c>
      <c r="F42" s="65">
        <f>CHOOSE(Plan!$K$5,'Calc Smart'!C48,'Calc Avalanche'!C48,'Calc Snowball'!C48,'Calc Cashflow'!C48)</f>
        <v/>
      </c>
      <c r="G42" s="65">
        <f>CHOOSE(Plan!$K$5,'Calc Smart'!D48,'Calc Avalanche'!D48,'Calc Snowball'!D48,'Calc Cashflow'!D48)</f>
        <v/>
      </c>
      <c r="H42" s="65">
        <f>CHOOSE(Plan!$K$5,'Calc Smart'!E48,'Calc Avalanche'!E48,'Calc Snowball'!E48,'Calc Cashflow'!E48)</f>
        <v/>
      </c>
      <c r="I42" s="65">
        <f>CHOOSE(Plan!$K$5,'Calc Smart'!F48,'Calc Avalanche'!F48,'Calc Snowball'!F48,'Calc Cashflow'!F48)</f>
        <v/>
      </c>
      <c r="J42" s="65">
        <f>CHOOSE(Plan!$K$5,'Calc Smart'!G48,'Calc Avalanche'!G48,'Calc Snowball'!G48,'Calc Cashflow'!G48)</f>
        <v/>
      </c>
      <c r="K42" s="65">
        <f>CHOOSE(Plan!$K$5,'Calc Smart'!H48,'Calc Avalanche'!H48,'Calc Snowball'!H48,'Calc Cashflow'!H48)</f>
        <v/>
      </c>
      <c r="L42" s="65">
        <f>CHOOSE(Plan!$K$5,'Calc Smart'!I48,'Calc Avalanche'!I48,'Calc Snowball'!I48,'Calc Cashflow'!I48)</f>
        <v/>
      </c>
      <c r="M42" s="65">
        <f>CHOOSE(Plan!$K$5,'Calc Smart'!J48,'Calc Avalanche'!J48,'Calc Snowball'!J48,'Calc Cashflow'!J48)</f>
        <v/>
      </c>
      <c r="N42" s="65">
        <f>CHOOSE(Plan!$K$5,'Calc Smart'!K48,'Calc Avalanche'!K48,'Calc Snowball'!K48,'Calc Cashflow'!K48)</f>
        <v/>
      </c>
      <c r="O42" s="65">
        <f>CHOOSE(Plan!$K$5,'Calc Smart'!L48,'Calc Avalanche'!L48,'Calc Snowball'!L48,'Calc Cashflow'!L48)</f>
        <v/>
      </c>
      <c r="P42" s="65">
        <f>CHOOSE(Plan!$K$5,'Calc Smart'!M48,'Calc Avalanche'!M48,'Calc Snowball'!M48,'Calc Cashflow'!M48)</f>
        <v/>
      </c>
      <c r="Q42" s="65">
        <f>CHOOSE(Plan!$K$5,'Calc Smart'!N48,'Calc Avalanche'!N48,'Calc Snowball'!N48,'Calc Cashflow'!N48)</f>
        <v/>
      </c>
    </row>
    <row r="43">
      <c r="B43" s="66">
        <f>EDATE(Plan!$C$6,37)</f>
        <v/>
      </c>
      <c r="C43" s="32">
        <f>CHOOSE(Plan!$K$5,'Calc Smart'!AE49,'Calc Avalanche'!AE49,'Calc Snowball'!AE49,'Calc Cashflow'!AE49)</f>
        <v/>
      </c>
      <c r="D43" s="32">
        <f>CHOOSE(Plan!$K$5,'Calc Smart'!AD49,'Calc Avalanche'!AD49,'Calc Snowball'!AD49,'Calc Cashflow'!AD49)</f>
        <v/>
      </c>
      <c r="E43" s="43">
        <f>CHOOSE(Plan!$K$5,COUNTIF('Calc Smart'!C49:N49,"&gt;0"),COUNTIF('Calc Avalanche'!C49:N49,"&gt;0"),COUNTIF('Calc Snowball'!C49:N49,"&gt;0"),COUNTIF('Calc Cashflow'!C49:N49,"&gt;0"))</f>
        <v/>
      </c>
      <c r="F43" s="67">
        <f>CHOOSE(Plan!$K$5,'Calc Smart'!C49,'Calc Avalanche'!C49,'Calc Snowball'!C49,'Calc Cashflow'!C49)</f>
        <v/>
      </c>
      <c r="G43" s="67">
        <f>CHOOSE(Plan!$K$5,'Calc Smart'!D49,'Calc Avalanche'!D49,'Calc Snowball'!D49,'Calc Cashflow'!D49)</f>
        <v/>
      </c>
      <c r="H43" s="67">
        <f>CHOOSE(Plan!$K$5,'Calc Smart'!E49,'Calc Avalanche'!E49,'Calc Snowball'!E49,'Calc Cashflow'!E49)</f>
        <v/>
      </c>
      <c r="I43" s="67">
        <f>CHOOSE(Plan!$K$5,'Calc Smart'!F49,'Calc Avalanche'!F49,'Calc Snowball'!F49,'Calc Cashflow'!F49)</f>
        <v/>
      </c>
      <c r="J43" s="67">
        <f>CHOOSE(Plan!$K$5,'Calc Smart'!G49,'Calc Avalanche'!G49,'Calc Snowball'!G49,'Calc Cashflow'!G49)</f>
        <v/>
      </c>
      <c r="K43" s="67">
        <f>CHOOSE(Plan!$K$5,'Calc Smart'!H49,'Calc Avalanche'!H49,'Calc Snowball'!H49,'Calc Cashflow'!H49)</f>
        <v/>
      </c>
      <c r="L43" s="67">
        <f>CHOOSE(Plan!$K$5,'Calc Smart'!I49,'Calc Avalanche'!I49,'Calc Snowball'!I49,'Calc Cashflow'!I49)</f>
        <v/>
      </c>
      <c r="M43" s="67">
        <f>CHOOSE(Plan!$K$5,'Calc Smart'!J49,'Calc Avalanche'!J49,'Calc Snowball'!J49,'Calc Cashflow'!J49)</f>
        <v/>
      </c>
      <c r="N43" s="67">
        <f>CHOOSE(Plan!$K$5,'Calc Smart'!K49,'Calc Avalanche'!K49,'Calc Snowball'!K49,'Calc Cashflow'!K49)</f>
        <v/>
      </c>
      <c r="O43" s="67">
        <f>CHOOSE(Plan!$K$5,'Calc Smart'!L49,'Calc Avalanche'!L49,'Calc Snowball'!L49,'Calc Cashflow'!L49)</f>
        <v/>
      </c>
      <c r="P43" s="67">
        <f>CHOOSE(Plan!$K$5,'Calc Smart'!M49,'Calc Avalanche'!M49,'Calc Snowball'!M49,'Calc Cashflow'!M49)</f>
        <v/>
      </c>
      <c r="Q43" s="67">
        <f>CHOOSE(Plan!$K$5,'Calc Smart'!N49,'Calc Avalanche'!N49,'Calc Snowball'!N49,'Calc Cashflow'!N49)</f>
        <v/>
      </c>
    </row>
    <row r="44">
      <c r="B44" s="64">
        <f>EDATE(Plan!$C$6,38)</f>
        <v/>
      </c>
      <c r="C44" s="31">
        <f>CHOOSE(Plan!$K$5,'Calc Smart'!AE50,'Calc Avalanche'!AE50,'Calc Snowball'!AE50,'Calc Cashflow'!AE50)</f>
        <v/>
      </c>
      <c r="D44" s="31">
        <f>CHOOSE(Plan!$K$5,'Calc Smart'!AD50,'Calc Avalanche'!AD50,'Calc Snowball'!AD50,'Calc Cashflow'!AD50)</f>
        <v/>
      </c>
      <c r="E44" s="40">
        <f>CHOOSE(Plan!$K$5,COUNTIF('Calc Smart'!C50:N50,"&gt;0"),COUNTIF('Calc Avalanche'!C50:N50,"&gt;0"),COUNTIF('Calc Snowball'!C50:N50,"&gt;0"),COUNTIF('Calc Cashflow'!C50:N50,"&gt;0"))</f>
        <v/>
      </c>
      <c r="F44" s="65">
        <f>CHOOSE(Plan!$K$5,'Calc Smart'!C50,'Calc Avalanche'!C50,'Calc Snowball'!C50,'Calc Cashflow'!C50)</f>
        <v/>
      </c>
      <c r="G44" s="65">
        <f>CHOOSE(Plan!$K$5,'Calc Smart'!D50,'Calc Avalanche'!D50,'Calc Snowball'!D50,'Calc Cashflow'!D50)</f>
        <v/>
      </c>
      <c r="H44" s="65">
        <f>CHOOSE(Plan!$K$5,'Calc Smart'!E50,'Calc Avalanche'!E50,'Calc Snowball'!E50,'Calc Cashflow'!E50)</f>
        <v/>
      </c>
      <c r="I44" s="65">
        <f>CHOOSE(Plan!$K$5,'Calc Smart'!F50,'Calc Avalanche'!F50,'Calc Snowball'!F50,'Calc Cashflow'!F50)</f>
        <v/>
      </c>
      <c r="J44" s="65">
        <f>CHOOSE(Plan!$K$5,'Calc Smart'!G50,'Calc Avalanche'!G50,'Calc Snowball'!G50,'Calc Cashflow'!G50)</f>
        <v/>
      </c>
      <c r="K44" s="65">
        <f>CHOOSE(Plan!$K$5,'Calc Smart'!H50,'Calc Avalanche'!H50,'Calc Snowball'!H50,'Calc Cashflow'!H50)</f>
        <v/>
      </c>
      <c r="L44" s="65">
        <f>CHOOSE(Plan!$K$5,'Calc Smart'!I50,'Calc Avalanche'!I50,'Calc Snowball'!I50,'Calc Cashflow'!I50)</f>
        <v/>
      </c>
      <c r="M44" s="65">
        <f>CHOOSE(Plan!$K$5,'Calc Smart'!J50,'Calc Avalanche'!J50,'Calc Snowball'!J50,'Calc Cashflow'!J50)</f>
        <v/>
      </c>
      <c r="N44" s="65">
        <f>CHOOSE(Plan!$K$5,'Calc Smart'!K50,'Calc Avalanche'!K50,'Calc Snowball'!K50,'Calc Cashflow'!K50)</f>
        <v/>
      </c>
      <c r="O44" s="65">
        <f>CHOOSE(Plan!$K$5,'Calc Smart'!L50,'Calc Avalanche'!L50,'Calc Snowball'!L50,'Calc Cashflow'!L50)</f>
        <v/>
      </c>
      <c r="P44" s="65">
        <f>CHOOSE(Plan!$K$5,'Calc Smart'!M50,'Calc Avalanche'!M50,'Calc Snowball'!M50,'Calc Cashflow'!M50)</f>
        <v/>
      </c>
      <c r="Q44" s="65">
        <f>CHOOSE(Plan!$K$5,'Calc Smart'!N50,'Calc Avalanche'!N50,'Calc Snowball'!N50,'Calc Cashflow'!N50)</f>
        <v/>
      </c>
    </row>
    <row r="45">
      <c r="B45" s="66">
        <f>EDATE(Plan!$C$6,39)</f>
        <v/>
      </c>
      <c r="C45" s="32">
        <f>CHOOSE(Plan!$K$5,'Calc Smart'!AE51,'Calc Avalanche'!AE51,'Calc Snowball'!AE51,'Calc Cashflow'!AE51)</f>
        <v/>
      </c>
      <c r="D45" s="32">
        <f>CHOOSE(Plan!$K$5,'Calc Smart'!AD51,'Calc Avalanche'!AD51,'Calc Snowball'!AD51,'Calc Cashflow'!AD51)</f>
        <v/>
      </c>
      <c r="E45" s="43">
        <f>CHOOSE(Plan!$K$5,COUNTIF('Calc Smart'!C51:N51,"&gt;0"),COUNTIF('Calc Avalanche'!C51:N51,"&gt;0"),COUNTIF('Calc Snowball'!C51:N51,"&gt;0"),COUNTIF('Calc Cashflow'!C51:N51,"&gt;0"))</f>
        <v/>
      </c>
      <c r="F45" s="67">
        <f>CHOOSE(Plan!$K$5,'Calc Smart'!C51,'Calc Avalanche'!C51,'Calc Snowball'!C51,'Calc Cashflow'!C51)</f>
        <v/>
      </c>
      <c r="G45" s="67">
        <f>CHOOSE(Plan!$K$5,'Calc Smart'!D51,'Calc Avalanche'!D51,'Calc Snowball'!D51,'Calc Cashflow'!D51)</f>
        <v/>
      </c>
      <c r="H45" s="67">
        <f>CHOOSE(Plan!$K$5,'Calc Smart'!E51,'Calc Avalanche'!E51,'Calc Snowball'!E51,'Calc Cashflow'!E51)</f>
        <v/>
      </c>
      <c r="I45" s="67">
        <f>CHOOSE(Plan!$K$5,'Calc Smart'!F51,'Calc Avalanche'!F51,'Calc Snowball'!F51,'Calc Cashflow'!F51)</f>
        <v/>
      </c>
      <c r="J45" s="67">
        <f>CHOOSE(Plan!$K$5,'Calc Smart'!G51,'Calc Avalanche'!G51,'Calc Snowball'!G51,'Calc Cashflow'!G51)</f>
        <v/>
      </c>
      <c r="K45" s="67">
        <f>CHOOSE(Plan!$K$5,'Calc Smart'!H51,'Calc Avalanche'!H51,'Calc Snowball'!H51,'Calc Cashflow'!H51)</f>
        <v/>
      </c>
      <c r="L45" s="67">
        <f>CHOOSE(Plan!$K$5,'Calc Smart'!I51,'Calc Avalanche'!I51,'Calc Snowball'!I51,'Calc Cashflow'!I51)</f>
        <v/>
      </c>
      <c r="M45" s="67">
        <f>CHOOSE(Plan!$K$5,'Calc Smart'!J51,'Calc Avalanche'!J51,'Calc Snowball'!J51,'Calc Cashflow'!J51)</f>
        <v/>
      </c>
      <c r="N45" s="67">
        <f>CHOOSE(Plan!$K$5,'Calc Smart'!K51,'Calc Avalanche'!K51,'Calc Snowball'!K51,'Calc Cashflow'!K51)</f>
        <v/>
      </c>
      <c r="O45" s="67">
        <f>CHOOSE(Plan!$K$5,'Calc Smart'!L51,'Calc Avalanche'!L51,'Calc Snowball'!L51,'Calc Cashflow'!L51)</f>
        <v/>
      </c>
      <c r="P45" s="67">
        <f>CHOOSE(Plan!$K$5,'Calc Smart'!M51,'Calc Avalanche'!M51,'Calc Snowball'!M51,'Calc Cashflow'!M51)</f>
        <v/>
      </c>
      <c r="Q45" s="67">
        <f>CHOOSE(Plan!$K$5,'Calc Smart'!N51,'Calc Avalanche'!N51,'Calc Snowball'!N51,'Calc Cashflow'!N51)</f>
        <v/>
      </c>
    </row>
    <row r="46">
      <c r="B46" s="64">
        <f>EDATE(Plan!$C$6,40)</f>
        <v/>
      </c>
      <c r="C46" s="31">
        <f>CHOOSE(Plan!$K$5,'Calc Smart'!AE52,'Calc Avalanche'!AE52,'Calc Snowball'!AE52,'Calc Cashflow'!AE52)</f>
        <v/>
      </c>
      <c r="D46" s="31">
        <f>CHOOSE(Plan!$K$5,'Calc Smart'!AD52,'Calc Avalanche'!AD52,'Calc Snowball'!AD52,'Calc Cashflow'!AD52)</f>
        <v/>
      </c>
      <c r="E46" s="40">
        <f>CHOOSE(Plan!$K$5,COUNTIF('Calc Smart'!C52:N52,"&gt;0"),COUNTIF('Calc Avalanche'!C52:N52,"&gt;0"),COUNTIF('Calc Snowball'!C52:N52,"&gt;0"),COUNTIF('Calc Cashflow'!C52:N52,"&gt;0"))</f>
        <v/>
      </c>
      <c r="F46" s="65">
        <f>CHOOSE(Plan!$K$5,'Calc Smart'!C52,'Calc Avalanche'!C52,'Calc Snowball'!C52,'Calc Cashflow'!C52)</f>
        <v/>
      </c>
      <c r="G46" s="65">
        <f>CHOOSE(Plan!$K$5,'Calc Smart'!D52,'Calc Avalanche'!D52,'Calc Snowball'!D52,'Calc Cashflow'!D52)</f>
        <v/>
      </c>
      <c r="H46" s="65">
        <f>CHOOSE(Plan!$K$5,'Calc Smart'!E52,'Calc Avalanche'!E52,'Calc Snowball'!E52,'Calc Cashflow'!E52)</f>
        <v/>
      </c>
      <c r="I46" s="65">
        <f>CHOOSE(Plan!$K$5,'Calc Smart'!F52,'Calc Avalanche'!F52,'Calc Snowball'!F52,'Calc Cashflow'!F52)</f>
        <v/>
      </c>
      <c r="J46" s="65">
        <f>CHOOSE(Plan!$K$5,'Calc Smart'!G52,'Calc Avalanche'!G52,'Calc Snowball'!G52,'Calc Cashflow'!G52)</f>
        <v/>
      </c>
      <c r="K46" s="65">
        <f>CHOOSE(Plan!$K$5,'Calc Smart'!H52,'Calc Avalanche'!H52,'Calc Snowball'!H52,'Calc Cashflow'!H52)</f>
        <v/>
      </c>
      <c r="L46" s="65">
        <f>CHOOSE(Plan!$K$5,'Calc Smart'!I52,'Calc Avalanche'!I52,'Calc Snowball'!I52,'Calc Cashflow'!I52)</f>
        <v/>
      </c>
      <c r="M46" s="65">
        <f>CHOOSE(Plan!$K$5,'Calc Smart'!J52,'Calc Avalanche'!J52,'Calc Snowball'!J52,'Calc Cashflow'!J52)</f>
        <v/>
      </c>
      <c r="N46" s="65">
        <f>CHOOSE(Plan!$K$5,'Calc Smart'!K52,'Calc Avalanche'!K52,'Calc Snowball'!K52,'Calc Cashflow'!K52)</f>
        <v/>
      </c>
      <c r="O46" s="65">
        <f>CHOOSE(Plan!$K$5,'Calc Smart'!L52,'Calc Avalanche'!L52,'Calc Snowball'!L52,'Calc Cashflow'!L52)</f>
        <v/>
      </c>
      <c r="P46" s="65">
        <f>CHOOSE(Plan!$K$5,'Calc Smart'!M52,'Calc Avalanche'!M52,'Calc Snowball'!M52,'Calc Cashflow'!M52)</f>
        <v/>
      </c>
      <c r="Q46" s="65">
        <f>CHOOSE(Plan!$K$5,'Calc Smart'!N52,'Calc Avalanche'!N52,'Calc Snowball'!N52,'Calc Cashflow'!N52)</f>
        <v/>
      </c>
    </row>
    <row r="47">
      <c r="B47" s="66">
        <f>EDATE(Plan!$C$6,41)</f>
        <v/>
      </c>
      <c r="C47" s="32">
        <f>CHOOSE(Plan!$K$5,'Calc Smart'!AE53,'Calc Avalanche'!AE53,'Calc Snowball'!AE53,'Calc Cashflow'!AE53)</f>
        <v/>
      </c>
      <c r="D47" s="32">
        <f>CHOOSE(Plan!$K$5,'Calc Smart'!AD53,'Calc Avalanche'!AD53,'Calc Snowball'!AD53,'Calc Cashflow'!AD53)</f>
        <v/>
      </c>
      <c r="E47" s="43">
        <f>CHOOSE(Plan!$K$5,COUNTIF('Calc Smart'!C53:N53,"&gt;0"),COUNTIF('Calc Avalanche'!C53:N53,"&gt;0"),COUNTIF('Calc Snowball'!C53:N53,"&gt;0"),COUNTIF('Calc Cashflow'!C53:N53,"&gt;0"))</f>
        <v/>
      </c>
      <c r="F47" s="67">
        <f>CHOOSE(Plan!$K$5,'Calc Smart'!C53,'Calc Avalanche'!C53,'Calc Snowball'!C53,'Calc Cashflow'!C53)</f>
        <v/>
      </c>
      <c r="G47" s="67">
        <f>CHOOSE(Plan!$K$5,'Calc Smart'!D53,'Calc Avalanche'!D53,'Calc Snowball'!D53,'Calc Cashflow'!D53)</f>
        <v/>
      </c>
      <c r="H47" s="67">
        <f>CHOOSE(Plan!$K$5,'Calc Smart'!E53,'Calc Avalanche'!E53,'Calc Snowball'!E53,'Calc Cashflow'!E53)</f>
        <v/>
      </c>
      <c r="I47" s="67">
        <f>CHOOSE(Plan!$K$5,'Calc Smart'!F53,'Calc Avalanche'!F53,'Calc Snowball'!F53,'Calc Cashflow'!F53)</f>
        <v/>
      </c>
      <c r="J47" s="67">
        <f>CHOOSE(Plan!$K$5,'Calc Smart'!G53,'Calc Avalanche'!G53,'Calc Snowball'!G53,'Calc Cashflow'!G53)</f>
        <v/>
      </c>
      <c r="K47" s="67">
        <f>CHOOSE(Plan!$K$5,'Calc Smart'!H53,'Calc Avalanche'!H53,'Calc Snowball'!H53,'Calc Cashflow'!H53)</f>
        <v/>
      </c>
      <c r="L47" s="67">
        <f>CHOOSE(Plan!$K$5,'Calc Smart'!I53,'Calc Avalanche'!I53,'Calc Snowball'!I53,'Calc Cashflow'!I53)</f>
        <v/>
      </c>
      <c r="M47" s="67">
        <f>CHOOSE(Plan!$K$5,'Calc Smart'!J53,'Calc Avalanche'!J53,'Calc Snowball'!J53,'Calc Cashflow'!J53)</f>
        <v/>
      </c>
      <c r="N47" s="67">
        <f>CHOOSE(Plan!$K$5,'Calc Smart'!K53,'Calc Avalanche'!K53,'Calc Snowball'!K53,'Calc Cashflow'!K53)</f>
        <v/>
      </c>
      <c r="O47" s="67">
        <f>CHOOSE(Plan!$K$5,'Calc Smart'!L53,'Calc Avalanche'!L53,'Calc Snowball'!L53,'Calc Cashflow'!L53)</f>
        <v/>
      </c>
      <c r="P47" s="67">
        <f>CHOOSE(Plan!$K$5,'Calc Smart'!M53,'Calc Avalanche'!M53,'Calc Snowball'!M53,'Calc Cashflow'!M53)</f>
        <v/>
      </c>
      <c r="Q47" s="67">
        <f>CHOOSE(Plan!$K$5,'Calc Smart'!N53,'Calc Avalanche'!N53,'Calc Snowball'!N53,'Calc Cashflow'!N53)</f>
        <v/>
      </c>
    </row>
    <row r="48">
      <c r="B48" s="64">
        <f>EDATE(Plan!$C$6,42)</f>
        <v/>
      </c>
      <c r="C48" s="31">
        <f>CHOOSE(Plan!$K$5,'Calc Smart'!AE54,'Calc Avalanche'!AE54,'Calc Snowball'!AE54,'Calc Cashflow'!AE54)</f>
        <v/>
      </c>
      <c r="D48" s="31">
        <f>CHOOSE(Plan!$K$5,'Calc Smart'!AD54,'Calc Avalanche'!AD54,'Calc Snowball'!AD54,'Calc Cashflow'!AD54)</f>
        <v/>
      </c>
      <c r="E48" s="40">
        <f>CHOOSE(Plan!$K$5,COUNTIF('Calc Smart'!C54:N54,"&gt;0"),COUNTIF('Calc Avalanche'!C54:N54,"&gt;0"),COUNTIF('Calc Snowball'!C54:N54,"&gt;0"),COUNTIF('Calc Cashflow'!C54:N54,"&gt;0"))</f>
        <v/>
      </c>
      <c r="F48" s="65">
        <f>CHOOSE(Plan!$K$5,'Calc Smart'!C54,'Calc Avalanche'!C54,'Calc Snowball'!C54,'Calc Cashflow'!C54)</f>
        <v/>
      </c>
      <c r="G48" s="65">
        <f>CHOOSE(Plan!$K$5,'Calc Smart'!D54,'Calc Avalanche'!D54,'Calc Snowball'!D54,'Calc Cashflow'!D54)</f>
        <v/>
      </c>
      <c r="H48" s="65">
        <f>CHOOSE(Plan!$K$5,'Calc Smart'!E54,'Calc Avalanche'!E54,'Calc Snowball'!E54,'Calc Cashflow'!E54)</f>
        <v/>
      </c>
      <c r="I48" s="65">
        <f>CHOOSE(Plan!$K$5,'Calc Smart'!F54,'Calc Avalanche'!F54,'Calc Snowball'!F54,'Calc Cashflow'!F54)</f>
        <v/>
      </c>
      <c r="J48" s="65">
        <f>CHOOSE(Plan!$K$5,'Calc Smart'!G54,'Calc Avalanche'!G54,'Calc Snowball'!G54,'Calc Cashflow'!G54)</f>
        <v/>
      </c>
      <c r="K48" s="65">
        <f>CHOOSE(Plan!$K$5,'Calc Smart'!H54,'Calc Avalanche'!H54,'Calc Snowball'!H54,'Calc Cashflow'!H54)</f>
        <v/>
      </c>
      <c r="L48" s="65">
        <f>CHOOSE(Plan!$K$5,'Calc Smart'!I54,'Calc Avalanche'!I54,'Calc Snowball'!I54,'Calc Cashflow'!I54)</f>
        <v/>
      </c>
      <c r="M48" s="65">
        <f>CHOOSE(Plan!$K$5,'Calc Smart'!J54,'Calc Avalanche'!J54,'Calc Snowball'!J54,'Calc Cashflow'!J54)</f>
        <v/>
      </c>
      <c r="N48" s="65">
        <f>CHOOSE(Plan!$K$5,'Calc Smart'!K54,'Calc Avalanche'!K54,'Calc Snowball'!K54,'Calc Cashflow'!K54)</f>
        <v/>
      </c>
      <c r="O48" s="65">
        <f>CHOOSE(Plan!$K$5,'Calc Smart'!L54,'Calc Avalanche'!L54,'Calc Snowball'!L54,'Calc Cashflow'!L54)</f>
        <v/>
      </c>
      <c r="P48" s="65">
        <f>CHOOSE(Plan!$K$5,'Calc Smart'!M54,'Calc Avalanche'!M54,'Calc Snowball'!M54,'Calc Cashflow'!M54)</f>
        <v/>
      </c>
      <c r="Q48" s="65">
        <f>CHOOSE(Plan!$K$5,'Calc Smart'!N54,'Calc Avalanche'!N54,'Calc Snowball'!N54,'Calc Cashflow'!N54)</f>
        <v/>
      </c>
    </row>
    <row r="49">
      <c r="B49" s="66">
        <f>EDATE(Plan!$C$6,43)</f>
        <v/>
      </c>
      <c r="C49" s="32">
        <f>CHOOSE(Plan!$K$5,'Calc Smart'!AE55,'Calc Avalanche'!AE55,'Calc Snowball'!AE55,'Calc Cashflow'!AE55)</f>
        <v/>
      </c>
      <c r="D49" s="32">
        <f>CHOOSE(Plan!$K$5,'Calc Smart'!AD55,'Calc Avalanche'!AD55,'Calc Snowball'!AD55,'Calc Cashflow'!AD55)</f>
        <v/>
      </c>
      <c r="E49" s="43">
        <f>CHOOSE(Plan!$K$5,COUNTIF('Calc Smart'!C55:N55,"&gt;0"),COUNTIF('Calc Avalanche'!C55:N55,"&gt;0"),COUNTIF('Calc Snowball'!C55:N55,"&gt;0"),COUNTIF('Calc Cashflow'!C55:N55,"&gt;0"))</f>
        <v/>
      </c>
      <c r="F49" s="67">
        <f>CHOOSE(Plan!$K$5,'Calc Smart'!C55,'Calc Avalanche'!C55,'Calc Snowball'!C55,'Calc Cashflow'!C55)</f>
        <v/>
      </c>
      <c r="G49" s="67">
        <f>CHOOSE(Plan!$K$5,'Calc Smart'!D55,'Calc Avalanche'!D55,'Calc Snowball'!D55,'Calc Cashflow'!D55)</f>
        <v/>
      </c>
      <c r="H49" s="67">
        <f>CHOOSE(Plan!$K$5,'Calc Smart'!E55,'Calc Avalanche'!E55,'Calc Snowball'!E55,'Calc Cashflow'!E55)</f>
        <v/>
      </c>
      <c r="I49" s="67">
        <f>CHOOSE(Plan!$K$5,'Calc Smart'!F55,'Calc Avalanche'!F55,'Calc Snowball'!F55,'Calc Cashflow'!F55)</f>
        <v/>
      </c>
      <c r="J49" s="67">
        <f>CHOOSE(Plan!$K$5,'Calc Smart'!G55,'Calc Avalanche'!G55,'Calc Snowball'!G55,'Calc Cashflow'!G55)</f>
        <v/>
      </c>
      <c r="K49" s="67">
        <f>CHOOSE(Plan!$K$5,'Calc Smart'!H55,'Calc Avalanche'!H55,'Calc Snowball'!H55,'Calc Cashflow'!H55)</f>
        <v/>
      </c>
      <c r="L49" s="67">
        <f>CHOOSE(Plan!$K$5,'Calc Smart'!I55,'Calc Avalanche'!I55,'Calc Snowball'!I55,'Calc Cashflow'!I55)</f>
        <v/>
      </c>
      <c r="M49" s="67">
        <f>CHOOSE(Plan!$K$5,'Calc Smart'!J55,'Calc Avalanche'!J55,'Calc Snowball'!J55,'Calc Cashflow'!J55)</f>
        <v/>
      </c>
      <c r="N49" s="67">
        <f>CHOOSE(Plan!$K$5,'Calc Smart'!K55,'Calc Avalanche'!K55,'Calc Snowball'!K55,'Calc Cashflow'!K55)</f>
        <v/>
      </c>
      <c r="O49" s="67">
        <f>CHOOSE(Plan!$K$5,'Calc Smart'!L55,'Calc Avalanche'!L55,'Calc Snowball'!L55,'Calc Cashflow'!L55)</f>
        <v/>
      </c>
      <c r="P49" s="67">
        <f>CHOOSE(Plan!$K$5,'Calc Smart'!M55,'Calc Avalanche'!M55,'Calc Snowball'!M55,'Calc Cashflow'!M55)</f>
        <v/>
      </c>
      <c r="Q49" s="67">
        <f>CHOOSE(Plan!$K$5,'Calc Smart'!N55,'Calc Avalanche'!N55,'Calc Snowball'!N55,'Calc Cashflow'!N55)</f>
        <v/>
      </c>
    </row>
    <row r="50">
      <c r="B50" s="64">
        <f>EDATE(Plan!$C$6,44)</f>
        <v/>
      </c>
      <c r="C50" s="31">
        <f>CHOOSE(Plan!$K$5,'Calc Smart'!AE56,'Calc Avalanche'!AE56,'Calc Snowball'!AE56,'Calc Cashflow'!AE56)</f>
        <v/>
      </c>
      <c r="D50" s="31">
        <f>CHOOSE(Plan!$K$5,'Calc Smart'!AD56,'Calc Avalanche'!AD56,'Calc Snowball'!AD56,'Calc Cashflow'!AD56)</f>
        <v/>
      </c>
      <c r="E50" s="40">
        <f>CHOOSE(Plan!$K$5,COUNTIF('Calc Smart'!C56:N56,"&gt;0"),COUNTIF('Calc Avalanche'!C56:N56,"&gt;0"),COUNTIF('Calc Snowball'!C56:N56,"&gt;0"),COUNTIF('Calc Cashflow'!C56:N56,"&gt;0"))</f>
        <v/>
      </c>
      <c r="F50" s="65">
        <f>CHOOSE(Plan!$K$5,'Calc Smart'!C56,'Calc Avalanche'!C56,'Calc Snowball'!C56,'Calc Cashflow'!C56)</f>
        <v/>
      </c>
      <c r="G50" s="65">
        <f>CHOOSE(Plan!$K$5,'Calc Smart'!D56,'Calc Avalanche'!D56,'Calc Snowball'!D56,'Calc Cashflow'!D56)</f>
        <v/>
      </c>
      <c r="H50" s="65">
        <f>CHOOSE(Plan!$K$5,'Calc Smart'!E56,'Calc Avalanche'!E56,'Calc Snowball'!E56,'Calc Cashflow'!E56)</f>
        <v/>
      </c>
      <c r="I50" s="65">
        <f>CHOOSE(Plan!$K$5,'Calc Smart'!F56,'Calc Avalanche'!F56,'Calc Snowball'!F56,'Calc Cashflow'!F56)</f>
        <v/>
      </c>
      <c r="J50" s="65">
        <f>CHOOSE(Plan!$K$5,'Calc Smart'!G56,'Calc Avalanche'!G56,'Calc Snowball'!G56,'Calc Cashflow'!G56)</f>
        <v/>
      </c>
      <c r="K50" s="65">
        <f>CHOOSE(Plan!$K$5,'Calc Smart'!H56,'Calc Avalanche'!H56,'Calc Snowball'!H56,'Calc Cashflow'!H56)</f>
        <v/>
      </c>
      <c r="L50" s="65">
        <f>CHOOSE(Plan!$K$5,'Calc Smart'!I56,'Calc Avalanche'!I56,'Calc Snowball'!I56,'Calc Cashflow'!I56)</f>
        <v/>
      </c>
      <c r="M50" s="65">
        <f>CHOOSE(Plan!$K$5,'Calc Smart'!J56,'Calc Avalanche'!J56,'Calc Snowball'!J56,'Calc Cashflow'!J56)</f>
        <v/>
      </c>
      <c r="N50" s="65">
        <f>CHOOSE(Plan!$K$5,'Calc Smart'!K56,'Calc Avalanche'!K56,'Calc Snowball'!K56,'Calc Cashflow'!K56)</f>
        <v/>
      </c>
      <c r="O50" s="65">
        <f>CHOOSE(Plan!$K$5,'Calc Smart'!L56,'Calc Avalanche'!L56,'Calc Snowball'!L56,'Calc Cashflow'!L56)</f>
        <v/>
      </c>
      <c r="P50" s="65">
        <f>CHOOSE(Plan!$K$5,'Calc Smart'!M56,'Calc Avalanche'!M56,'Calc Snowball'!M56,'Calc Cashflow'!M56)</f>
        <v/>
      </c>
      <c r="Q50" s="65">
        <f>CHOOSE(Plan!$K$5,'Calc Smart'!N56,'Calc Avalanche'!N56,'Calc Snowball'!N56,'Calc Cashflow'!N56)</f>
        <v/>
      </c>
    </row>
    <row r="51">
      <c r="B51" s="66">
        <f>EDATE(Plan!$C$6,45)</f>
        <v/>
      </c>
      <c r="C51" s="32">
        <f>CHOOSE(Plan!$K$5,'Calc Smart'!AE57,'Calc Avalanche'!AE57,'Calc Snowball'!AE57,'Calc Cashflow'!AE57)</f>
        <v/>
      </c>
      <c r="D51" s="32">
        <f>CHOOSE(Plan!$K$5,'Calc Smart'!AD57,'Calc Avalanche'!AD57,'Calc Snowball'!AD57,'Calc Cashflow'!AD57)</f>
        <v/>
      </c>
      <c r="E51" s="43">
        <f>CHOOSE(Plan!$K$5,COUNTIF('Calc Smart'!C57:N57,"&gt;0"),COUNTIF('Calc Avalanche'!C57:N57,"&gt;0"),COUNTIF('Calc Snowball'!C57:N57,"&gt;0"),COUNTIF('Calc Cashflow'!C57:N57,"&gt;0"))</f>
        <v/>
      </c>
      <c r="F51" s="67">
        <f>CHOOSE(Plan!$K$5,'Calc Smart'!C57,'Calc Avalanche'!C57,'Calc Snowball'!C57,'Calc Cashflow'!C57)</f>
        <v/>
      </c>
      <c r="G51" s="67">
        <f>CHOOSE(Plan!$K$5,'Calc Smart'!D57,'Calc Avalanche'!D57,'Calc Snowball'!D57,'Calc Cashflow'!D57)</f>
        <v/>
      </c>
      <c r="H51" s="67">
        <f>CHOOSE(Plan!$K$5,'Calc Smart'!E57,'Calc Avalanche'!E57,'Calc Snowball'!E57,'Calc Cashflow'!E57)</f>
        <v/>
      </c>
      <c r="I51" s="67">
        <f>CHOOSE(Plan!$K$5,'Calc Smart'!F57,'Calc Avalanche'!F57,'Calc Snowball'!F57,'Calc Cashflow'!F57)</f>
        <v/>
      </c>
      <c r="J51" s="67">
        <f>CHOOSE(Plan!$K$5,'Calc Smart'!G57,'Calc Avalanche'!G57,'Calc Snowball'!G57,'Calc Cashflow'!G57)</f>
        <v/>
      </c>
      <c r="K51" s="67">
        <f>CHOOSE(Plan!$K$5,'Calc Smart'!H57,'Calc Avalanche'!H57,'Calc Snowball'!H57,'Calc Cashflow'!H57)</f>
        <v/>
      </c>
      <c r="L51" s="67">
        <f>CHOOSE(Plan!$K$5,'Calc Smart'!I57,'Calc Avalanche'!I57,'Calc Snowball'!I57,'Calc Cashflow'!I57)</f>
        <v/>
      </c>
      <c r="M51" s="67">
        <f>CHOOSE(Plan!$K$5,'Calc Smart'!J57,'Calc Avalanche'!J57,'Calc Snowball'!J57,'Calc Cashflow'!J57)</f>
        <v/>
      </c>
      <c r="N51" s="67">
        <f>CHOOSE(Plan!$K$5,'Calc Smart'!K57,'Calc Avalanche'!K57,'Calc Snowball'!K57,'Calc Cashflow'!K57)</f>
        <v/>
      </c>
      <c r="O51" s="67">
        <f>CHOOSE(Plan!$K$5,'Calc Smart'!L57,'Calc Avalanche'!L57,'Calc Snowball'!L57,'Calc Cashflow'!L57)</f>
        <v/>
      </c>
      <c r="P51" s="67">
        <f>CHOOSE(Plan!$K$5,'Calc Smart'!M57,'Calc Avalanche'!M57,'Calc Snowball'!M57,'Calc Cashflow'!M57)</f>
        <v/>
      </c>
      <c r="Q51" s="67">
        <f>CHOOSE(Plan!$K$5,'Calc Smart'!N57,'Calc Avalanche'!N57,'Calc Snowball'!N57,'Calc Cashflow'!N57)</f>
        <v/>
      </c>
    </row>
    <row r="52">
      <c r="B52" s="64">
        <f>EDATE(Plan!$C$6,46)</f>
        <v/>
      </c>
      <c r="C52" s="31">
        <f>CHOOSE(Plan!$K$5,'Calc Smart'!AE58,'Calc Avalanche'!AE58,'Calc Snowball'!AE58,'Calc Cashflow'!AE58)</f>
        <v/>
      </c>
      <c r="D52" s="31">
        <f>CHOOSE(Plan!$K$5,'Calc Smart'!AD58,'Calc Avalanche'!AD58,'Calc Snowball'!AD58,'Calc Cashflow'!AD58)</f>
        <v/>
      </c>
      <c r="E52" s="40">
        <f>CHOOSE(Plan!$K$5,COUNTIF('Calc Smart'!C58:N58,"&gt;0"),COUNTIF('Calc Avalanche'!C58:N58,"&gt;0"),COUNTIF('Calc Snowball'!C58:N58,"&gt;0"),COUNTIF('Calc Cashflow'!C58:N58,"&gt;0"))</f>
        <v/>
      </c>
      <c r="F52" s="65">
        <f>CHOOSE(Plan!$K$5,'Calc Smart'!C58,'Calc Avalanche'!C58,'Calc Snowball'!C58,'Calc Cashflow'!C58)</f>
        <v/>
      </c>
      <c r="G52" s="65">
        <f>CHOOSE(Plan!$K$5,'Calc Smart'!D58,'Calc Avalanche'!D58,'Calc Snowball'!D58,'Calc Cashflow'!D58)</f>
        <v/>
      </c>
      <c r="H52" s="65">
        <f>CHOOSE(Plan!$K$5,'Calc Smart'!E58,'Calc Avalanche'!E58,'Calc Snowball'!E58,'Calc Cashflow'!E58)</f>
        <v/>
      </c>
      <c r="I52" s="65">
        <f>CHOOSE(Plan!$K$5,'Calc Smart'!F58,'Calc Avalanche'!F58,'Calc Snowball'!F58,'Calc Cashflow'!F58)</f>
        <v/>
      </c>
      <c r="J52" s="65">
        <f>CHOOSE(Plan!$K$5,'Calc Smart'!G58,'Calc Avalanche'!G58,'Calc Snowball'!G58,'Calc Cashflow'!G58)</f>
        <v/>
      </c>
      <c r="K52" s="65">
        <f>CHOOSE(Plan!$K$5,'Calc Smart'!H58,'Calc Avalanche'!H58,'Calc Snowball'!H58,'Calc Cashflow'!H58)</f>
        <v/>
      </c>
      <c r="L52" s="65">
        <f>CHOOSE(Plan!$K$5,'Calc Smart'!I58,'Calc Avalanche'!I58,'Calc Snowball'!I58,'Calc Cashflow'!I58)</f>
        <v/>
      </c>
      <c r="M52" s="65">
        <f>CHOOSE(Plan!$K$5,'Calc Smart'!J58,'Calc Avalanche'!J58,'Calc Snowball'!J58,'Calc Cashflow'!J58)</f>
        <v/>
      </c>
      <c r="N52" s="65">
        <f>CHOOSE(Plan!$K$5,'Calc Smart'!K58,'Calc Avalanche'!K58,'Calc Snowball'!K58,'Calc Cashflow'!K58)</f>
        <v/>
      </c>
      <c r="O52" s="65">
        <f>CHOOSE(Plan!$K$5,'Calc Smart'!L58,'Calc Avalanche'!L58,'Calc Snowball'!L58,'Calc Cashflow'!L58)</f>
        <v/>
      </c>
      <c r="P52" s="65">
        <f>CHOOSE(Plan!$K$5,'Calc Smart'!M58,'Calc Avalanche'!M58,'Calc Snowball'!M58,'Calc Cashflow'!M58)</f>
        <v/>
      </c>
      <c r="Q52" s="65">
        <f>CHOOSE(Plan!$K$5,'Calc Smart'!N58,'Calc Avalanche'!N58,'Calc Snowball'!N58,'Calc Cashflow'!N58)</f>
        <v/>
      </c>
    </row>
    <row r="53">
      <c r="B53" s="66">
        <f>EDATE(Plan!$C$6,47)</f>
        <v/>
      </c>
      <c r="C53" s="32">
        <f>CHOOSE(Plan!$K$5,'Calc Smart'!AE59,'Calc Avalanche'!AE59,'Calc Snowball'!AE59,'Calc Cashflow'!AE59)</f>
        <v/>
      </c>
      <c r="D53" s="32">
        <f>CHOOSE(Plan!$K$5,'Calc Smart'!AD59,'Calc Avalanche'!AD59,'Calc Snowball'!AD59,'Calc Cashflow'!AD59)</f>
        <v/>
      </c>
      <c r="E53" s="43">
        <f>CHOOSE(Plan!$K$5,COUNTIF('Calc Smart'!C59:N59,"&gt;0"),COUNTIF('Calc Avalanche'!C59:N59,"&gt;0"),COUNTIF('Calc Snowball'!C59:N59,"&gt;0"),COUNTIF('Calc Cashflow'!C59:N59,"&gt;0"))</f>
        <v/>
      </c>
      <c r="F53" s="67">
        <f>CHOOSE(Plan!$K$5,'Calc Smart'!C59,'Calc Avalanche'!C59,'Calc Snowball'!C59,'Calc Cashflow'!C59)</f>
        <v/>
      </c>
      <c r="G53" s="67">
        <f>CHOOSE(Plan!$K$5,'Calc Smart'!D59,'Calc Avalanche'!D59,'Calc Snowball'!D59,'Calc Cashflow'!D59)</f>
        <v/>
      </c>
      <c r="H53" s="67">
        <f>CHOOSE(Plan!$K$5,'Calc Smart'!E59,'Calc Avalanche'!E59,'Calc Snowball'!E59,'Calc Cashflow'!E59)</f>
        <v/>
      </c>
      <c r="I53" s="67">
        <f>CHOOSE(Plan!$K$5,'Calc Smart'!F59,'Calc Avalanche'!F59,'Calc Snowball'!F59,'Calc Cashflow'!F59)</f>
        <v/>
      </c>
      <c r="J53" s="67">
        <f>CHOOSE(Plan!$K$5,'Calc Smart'!G59,'Calc Avalanche'!G59,'Calc Snowball'!G59,'Calc Cashflow'!G59)</f>
        <v/>
      </c>
      <c r="K53" s="67">
        <f>CHOOSE(Plan!$K$5,'Calc Smart'!H59,'Calc Avalanche'!H59,'Calc Snowball'!H59,'Calc Cashflow'!H59)</f>
        <v/>
      </c>
      <c r="L53" s="67">
        <f>CHOOSE(Plan!$K$5,'Calc Smart'!I59,'Calc Avalanche'!I59,'Calc Snowball'!I59,'Calc Cashflow'!I59)</f>
        <v/>
      </c>
      <c r="M53" s="67">
        <f>CHOOSE(Plan!$K$5,'Calc Smart'!J59,'Calc Avalanche'!J59,'Calc Snowball'!J59,'Calc Cashflow'!J59)</f>
        <v/>
      </c>
      <c r="N53" s="67">
        <f>CHOOSE(Plan!$K$5,'Calc Smart'!K59,'Calc Avalanche'!K59,'Calc Snowball'!K59,'Calc Cashflow'!K59)</f>
        <v/>
      </c>
      <c r="O53" s="67">
        <f>CHOOSE(Plan!$K$5,'Calc Smart'!L59,'Calc Avalanche'!L59,'Calc Snowball'!L59,'Calc Cashflow'!L59)</f>
        <v/>
      </c>
      <c r="P53" s="67">
        <f>CHOOSE(Plan!$K$5,'Calc Smart'!M59,'Calc Avalanche'!M59,'Calc Snowball'!M59,'Calc Cashflow'!M59)</f>
        <v/>
      </c>
      <c r="Q53" s="67">
        <f>CHOOSE(Plan!$K$5,'Calc Smart'!N59,'Calc Avalanche'!N59,'Calc Snowball'!N59,'Calc Cashflow'!N59)</f>
        <v/>
      </c>
    </row>
    <row r="54">
      <c r="B54" s="64">
        <f>EDATE(Plan!$C$6,48)</f>
        <v/>
      </c>
      <c r="C54" s="31">
        <f>CHOOSE(Plan!$K$5,'Calc Smart'!AE60,'Calc Avalanche'!AE60,'Calc Snowball'!AE60,'Calc Cashflow'!AE60)</f>
        <v/>
      </c>
      <c r="D54" s="31">
        <f>CHOOSE(Plan!$K$5,'Calc Smart'!AD60,'Calc Avalanche'!AD60,'Calc Snowball'!AD60,'Calc Cashflow'!AD60)</f>
        <v/>
      </c>
      <c r="E54" s="40">
        <f>CHOOSE(Plan!$K$5,COUNTIF('Calc Smart'!C60:N60,"&gt;0"),COUNTIF('Calc Avalanche'!C60:N60,"&gt;0"),COUNTIF('Calc Snowball'!C60:N60,"&gt;0"),COUNTIF('Calc Cashflow'!C60:N60,"&gt;0"))</f>
        <v/>
      </c>
      <c r="F54" s="65">
        <f>CHOOSE(Plan!$K$5,'Calc Smart'!C60,'Calc Avalanche'!C60,'Calc Snowball'!C60,'Calc Cashflow'!C60)</f>
        <v/>
      </c>
      <c r="G54" s="65">
        <f>CHOOSE(Plan!$K$5,'Calc Smart'!D60,'Calc Avalanche'!D60,'Calc Snowball'!D60,'Calc Cashflow'!D60)</f>
        <v/>
      </c>
      <c r="H54" s="65">
        <f>CHOOSE(Plan!$K$5,'Calc Smart'!E60,'Calc Avalanche'!E60,'Calc Snowball'!E60,'Calc Cashflow'!E60)</f>
        <v/>
      </c>
      <c r="I54" s="65">
        <f>CHOOSE(Plan!$K$5,'Calc Smart'!F60,'Calc Avalanche'!F60,'Calc Snowball'!F60,'Calc Cashflow'!F60)</f>
        <v/>
      </c>
      <c r="J54" s="65">
        <f>CHOOSE(Plan!$K$5,'Calc Smart'!G60,'Calc Avalanche'!G60,'Calc Snowball'!G60,'Calc Cashflow'!G60)</f>
        <v/>
      </c>
      <c r="K54" s="65">
        <f>CHOOSE(Plan!$K$5,'Calc Smart'!H60,'Calc Avalanche'!H60,'Calc Snowball'!H60,'Calc Cashflow'!H60)</f>
        <v/>
      </c>
      <c r="L54" s="65">
        <f>CHOOSE(Plan!$K$5,'Calc Smart'!I60,'Calc Avalanche'!I60,'Calc Snowball'!I60,'Calc Cashflow'!I60)</f>
        <v/>
      </c>
      <c r="M54" s="65">
        <f>CHOOSE(Plan!$K$5,'Calc Smart'!J60,'Calc Avalanche'!J60,'Calc Snowball'!J60,'Calc Cashflow'!J60)</f>
        <v/>
      </c>
      <c r="N54" s="65">
        <f>CHOOSE(Plan!$K$5,'Calc Smart'!K60,'Calc Avalanche'!K60,'Calc Snowball'!K60,'Calc Cashflow'!K60)</f>
        <v/>
      </c>
      <c r="O54" s="65">
        <f>CHOOSE(Plan!$K$5,'Calc Smart'!L60,'Calc Avalanche'!L60,'Calc Snowball'!L60,'Calc Cashflow'!L60)</f>
        <v/>
      </c>
      <c r="P54" s="65">
        <f>CHOOSE(Plan!$K$5,'Calc Smart'!M60,'Calc Avalanche'!M60,'Calc Snowball'!M60,'Calc Cashflow'!M60)</f>
        <v/>
      </c>
      <c r="Q54" s="65">
        <f>CHOOSE(Plan!$K$5,'Calc Smart'!N60,'Calc Avalanche'!N60,'Calc Snowball'!N60,'Calc Cashflow'!N60)</f>
        <v/>
      </c>
    </row>
    <row r="55">
      <c r="B55" s="66">
        <f>EDATE(Plan!$C$6,49)</f>
        <v/>
      </c>
      <c r="C55" s="32">
        <f>CHOOSE(Plan!$K$5,'Calc Smart'!AE61,'Calc Avalanche'!AE61,'Calc Snowball'!AE61,'Calc Cashflow'!AE61)</f>
        <v/>
      </c>
      <c r="D55" s="32">
        <f>CHOOSE(Plan!$K$5,'Calc Smart'!AD61,'Calc Avalanche'!AD61,'Calc Snowball'!AD61,'Calc Cashflow'!AD61)</f>
        <v/>
      </c>
      <c r="E55" s="43">
        <f>CHOOSE(Plan!$K$5,COUNTIF('Calc Smart'!C61:N61,"&gt;0"),COUNTIF('Calc Avalanche'!C61:N61,"&gt;0"),COUNTIF('Calc Snowball'!C61:N61,"&gt;0"),COUNTIF('Calc Cashflow'!C61:N61,"&gt;0"))</f>
        <v/>
      </c>
      <c r="F55" s="67">
        <f>CHOOSE(Plan!$K$5,'Calc Smart'!C61,'Calc Avalanche'!C61,'Calc Snowball'!C61,'Calc Cashflow'!C61)</f>
        <v/>
      </c>
      <c r="G55" s="67">
        <f>CHOOSE(Plan!$K$5,'Calc Smart'!D61,'Calc Avalanche'!D61,'Calc Snowball'!D61,'Calc Cashflow'!D61)</f>
        <v/>
      </c>
      <c r="H55" s="67">
        <f>CHOOSE(Plan!$K$5,'Calc Smart'!E61,'Calc Avalanche'!E61,'Calc Snowball'!E61,'Calc Cashflow'!E61)</f>
        <v/>
      </c>
      <c r="I55" s="67">
        <f>CHOOSE(Plan!$K$5,'Calc Smart'!F61,'Calc Avalanche'!F61,'Calc Snowball'!F61,'Calc Cashflow'!F61)</f>
        <v/>
      </c>
      <c r="J55" s="67">
        <f>CHOOSE(Plan!$K$5,'Calc Smart'!G61,'Calc Avalanche'!G61,'Calc Snowball'!G61,'Calc Cashflow'!G61)</f>
        <v/>
      </c>
      <c r="K55" s="67">
        <f>CHOOSE(Plan!$K$5,'Calc Smart'!H61,'Calc Avalanche'!H61,'Calc Snowball'!H61,'Calc Cashflow'!H61)</f>
        <v/>
      </c>
      <c r="L55" s="67">
        <f>CHOOSE(Plan!$K$5,'Calc Smart'!I61,'Calc Avalanche'!I61,'Calc Snowball'!I61,'Calc Cashflow'!I61)</f>
        <v/>
      </c>
      <c r="M55" s="67">
        <f>CHOOSE(Plan!$K$5,'Calc Smart'!J61,'Calc Avalanche'!J61,'Calc Snowball'!J61,'Calc Cashflow'!J61)</f>
        <v/>
      </c>
      <c r="N55" s="67">
        <f>CHOOSE(Plan!$K$5,'Calc Smart'!K61,'Calc Avalanche'!K61,'Calc Snowball'!K61,'Calc Cashflow'!K61)</f>
        <v/>
      </c>
      <c r="O55" s="67">
        <f>CHOOSE(Plan!$K$5,'Calc Smart'!L61,'Calc Avalanche'!L61,'Calc Snowball'!L61,'Calc Cashflow'!L61)</f>
        <v/>
      </c>
      <c r="P55" s="67">
        <f>CHOOSE(Plan!$K$5,'Calc Smart'!M61,'Calc Avalanche'!M61,'Calc Snowball'!M61,'Calc Cashflow'!M61)</f>
        <v/>
      </c>
      <c r="Q55" s="67">
        <f>CHOOSE(Plan!$K$5,'Calc Smart'!N61,'Calc Avalanche'!N61,'Calc Snowball'!N61,'Calc Cashflow'!N61)</f>
        <v/>
      </c>
    </row>
    <row r="56">
      <c r="B56" s="64">
        <f>EDATE(Plan!$C$6,50)</f>
        <v/>
      </c>
      <c r="C56" s="31">
        <f>CHOOSE(Plan!$K$5,'Calc Smart'!AE62,'Calc Avalanche'!AE62,'Calc Snowball'!AE62,'Calc Cashflow'!AE62)</f>
        <v/>
      </c>
      <c r="D56" s="31">
        <f>CHOOSE(Plan!$K$5,'Calc Smart'!AD62,'Calc Avalanche'!AD62,'Calc Snowball'!AD62,'Calc Cashflow'!AD62)</f>
        <v/>
      </c>
      <c r="E56" s="40">
        <f>CHOOSE(Plan!$K$5,COUNTIF('Calc Smart'!C62:N62,"&gt;0"),COUNTIF('Calc Avalanche'!C62:N62,"&gt;0"),COUNTIF('Calc Snowball'!C62:N62,"&gt;0"),COUNTIF('Calc Cashflow'!C62:N62,"&gt;0"))</f>
        <v/>
      </c>
      <c r="F56" s="65">
        <f>CHOOSE(Plan!$K$5,'Calc Smart'!C62,'Calc Avalanche'!C62,'Calc Snowball'!C62,'Calc Cashflow'!C62)</f>
        <v/>
      </c>
      <c r="G56" s="65">
        <f>CHOOSE(Plan!$K$5,'Calc Smart'!D62,'Calc Avalanche'!D62,'Calc Snowball'!D62,'Calc Cashflow'!D62)</f>
        <v/>
      </c>
      <c r="H56" s="65">
        <f>CHOOSE(Plan!$K$5,'Calc Smart'!E62,'Calc Avalanche'!E62,'Calc Snowball'!E62,'Calc Cashflow'!E62)</f>
        <v/>
      </c>
      <c r="I56" s="65">
        <f>CHOOSE(Plan!$K$5,'Calc Smart'!F62,'Calc Avalanche'!F62,'Calc Snowball'!F62,'Calc Cashflow'!F62)</f>
        <v/>
      </c>
      <c r="J56" s="65">
        <f>CHOOSE(Plan!$K$5,'Calc Smart'!G62,'Calc Avalanche'!G62,'Calc Snowball'!G62,'Calc Cashflow'!G62)</f>
        <v/>
      </c>
      <c r="K56" s="65">
        <f>CHOOSE(Plan!$K$5,'Calc Smart'!H62,'Calc Avalanche'!H62,'Calc Snowball'!H62,'Calc Cashflow'!H62)</f>
        <v/>
      </c>
      <c r="L56" s="65">
        <f>CHOOSE(Plan!$K$5,'Calc Smart'!I62,'Calc Avalanche'!I62,'Calc Snowball'!I62,'Calc Cashflow'!I62)</f>
        <v/>
      </c>
      <c r="M56" s="65">
        <f>CHOOSE(Plan!$K$5,'Calc Smart'!J62,'Calc Avalanche'!J62,'Calc Snowball'!J62,'Calc Cashflow'!J62)</f>
        <v/>
      </c>
      <c r="N56" s="65">
        <f>CHOOSE(Plan!$K$5,'Calc Smart'!K62,'Calc Avalanche'!K62,'Calc Snowball'!K62,'Calc Cashflow'!K62)</f>
        <v/>
      </c>
      <c r="O56" s="65">
        <f>CHOOSE(Plan!$K$5,'Calc Smart'!L62,'Calc Avalanche'!L62,'Calc Snowball'!L62,'Calc Cashflow'!L62)</f>
        <v/>
      </c>
      <c r="P56" s="65">
        <f>CHOOSE(Plan!$K$5,'Calc Smart'!M62,'Calc Avalanche'!M62,'Calc Snowball'!M62,'Calc Cashflow'!M62)</f>
        <v/>
      </c>
      <c r="Q56" s="65">
        <f>CHOOSE(Plan!$K$5,'Calc Smart'!N62,'Calc Avalanche'!N62,'Calc Snowball'!N62,'Calc Cashflow'!N62)</f>
        <v/>
      </c>
    </row>
    <row r="57">
      <c r="B57" s="66">
        <f>EDATE(Plan!$C$6,51)</f>
        <v/>
      </c>
      <c r="C57" s="32">
        <f>CHOOSE(Plan!$K$5,'Calc Smart'!AE63,'Calc Avalanche'!AE63,'Calc Snowball'!AE63,'Calc Cashflow'!AE63)</f>
        <v/>
      </c>
      <c r="D57" s="32">
        <f>CHOOSE(Plan!$K$5,'Calc Smart'!AD63,'Calc Avalanche'!AD63,'Calc Snowball'!AD63,'Calc Cashflow'!AD63)</f>
        <v/>
      </c>
      <c r="E57" s="43">
        <f>CHOOSE(Plan!$K$5,COUNTIF('Calc Smart'!C63:N63,"&gt;0"),COUNTIF('Calc Avalanche'!C63:N63,"&gt;0"),COUNTIF('Calc Snowball'!C63:N63,"&gt;0"),COUNTIF('Calc Cashflow'!C63:N63,"&gt;0"))</f>
        <v/>
      </c>
      <c r="F57" s="67">
        <f>CHOOSE(Plan!$K$5,'Calc Smart'!C63,'Calc Avalanche'!C63,'Calc Snowball'!C63,'Calc Cashflow'!C63)</f>
        <v/>
      </c>
      <c r="G57" s="67">
        <f>CHOOSE(Plan!$K$5,'Calc Smart'!D63,'Calc Avalanche'!D63,'Calc Snowball'!D63,'Calc Cashflow'!D63)</f>
        <v/>
      </c>
      <c r="H57" s="67">
        <f>CHOOSE(Plan!$K$5,'Calc Smart'!E63,'Calc Avalanche'!E63,'Calc Snowball'!E63,'Calc Cashflow'!E63)</f>
        <v/>
      </c>
      <c r="I57" s="67">
        <f>CHOOSE(Plan!$K$5,'Calc Smart'!F63,'Calc Avalanche'!F63,'Calc Snowball'!F63,'Calc Cashflow'!F63)</f>
        <v/>
      </c>
      <c r="J57" s="67">
        <f>CHOOSE(Plan!$K$5,'Calc Smart'!G63,'Calc Avalanche'!G63,'Calc Snowball'!G63,'Calc Cashflow'!G63)</f>
        <v/>
      </c>
      <c r="K57" s="67">
        <f>CHOOSE(Plan!$K$5,'Calc Smart'!H63,'Calc Avalanche'!H63,'Calc Snowball'!H63,'Calc Cashflow'!H63)</f>
        <v/>
      </c>
      <c r="L57" s="67">
        <f>CHOOSE(Plan!$K$5,'Calc Smart'!I63,'Calc Avalanche'!I63,'Calc Snowball'!I63,'Calc Cashflow'!I63)</f>
        <v/>
      </c>
      <c r="M57" s="67">
        <f>CHOOSE(Plan!$K$5,'Calc Smart'!J63,'Calc Avalanche'!J63,'Calc Snowball'!J63,'Calc Cashflow'!J63)</f>
        <v/>
      </c>
      <c r="N57" s="67">
        <f>CHOOSE(Plan!$K$5,'Calc Smart'!K63,'Calc Avalanche'!K63,'Calc Snowball'!K63,'Calc Cashflow'!K63)</f>
        <v/>
      </c>
      <c r="O57" s="67">
        <f>CHOOSE(Plan!$K$5,'Calc Smart'!L63,'Calc Avalanche'!L63,'Calc Snowball'!L63,'Calc Cashflow'!L63)</f>
        <v/>
      </c>
      <c r="P57" s="67">
        <f>CHOOSE(Plan!$K$5,'Calc Smart'!M63,'Calc Avalanche'!M63,'Calc Snowball'!M63,'Calc Cashflow'!M63)</f>
        <v/>
      </c>
      <c r="Q57" s="67">
        <f>CHOOSE(Plan!$K$5,'Calc Smart'!N63,'Calc Avalanche'!N63,'Calc Snowball'!N63,'Calc Cashflow'!N63)</f>
        <v/>
      </c>
    </row>
    <row r="58">
      <c r="B58" s="64">
        <f>EDATE(Plan!$C$6,52)</f>
        <v/>
      </c>
      <c r="C58" s="31">
        <f>CHOOSE(Plan!$K$5,'Calc Smart'!AE64,'Calc Avalanche'!AE64,'Calc Snowball'!AE64,'Calc Cashflow'!AE64)</f>
        <v/>
      </c>
      <c r="D58" s="31">
        <f>CHOOSE(Plan!$K$5,'Calc Smart'!AD64,'Calc Avalanche'!AD64,'Calc Snowball'!AD64,'Calc Cashflow'!AD64)</f>
        <v/>
      </c>
      <c r="E58" s="40">
        <f>CHOOSE(Plan!$K$5,COUNTIF('Calc Smart'!C64:N64,"&gt;0"),COUNTIF('Calc Avalanche'!C64:N64,"&gt;0"),COUNTIF('Calc Snowball'!C64:N64,"&gt;0"),COUNTIF('Calc Cashflow'!C64:N64,"&gt;0"))</f>
        <v/>
      </c>
      <c r="F58" s="65">
        <f>CHOOSE(Plan!$K$5,'Calc Smart'!C64,'Calc Avalanche'!C64,'Calc Snowball'!C64,'Calc Cashflow'!C64)</f>
        <v/>
      </c>
      <c r="G58" s="65">
        <f>CHOOSE(Plan!$K$5,'Calc Smart'!D64,'Calc Avalanche'!D64,'Calc Snowball'!D64,'Calc Cashflow'!D64)</f>
        <v/>
      </c>
      <c r="H58" s="65">
        <f>CHOOSE(Plan!$K$5,'Calc Smart'!E64,'Calc Avalanche'!E64,'Calc Snowball'!E64,'Calc Cashflow'!E64)</f>
        <v/>
      </c>
      <c r="I58" s="65">
        <f>CHOOSE(Plan!$K$5,'Calc Smart'!F64,'Calc Avalanche'!F64,'Calc Snowball'!F64,'Calc Cashflow'!F64)</f>
        <v/>
      </c>
      <c r="J58" s="65">
        <f>CHOOSE(Plan!$K$5,'Calc Smart'!G64,'Calc Avalanche'!G64,'Calc Snowball'!G64,'Calc Cashflow'!G64)</f>
        <v/>
      </c>
      <c r="K58" s="65">
        <f>CHOOSE(Plan!$K$5,'Calc Smart'!H64,'Calc Avalanche'!H64,'Calc Snowball'!H64,'Calc Cashflow'!H64)</f>
        <v/>
      </c>
      <c r="L58" s="65">
        <f>CHOOSE(Plan!$K$5,'Calc Smart'!I64,'Calc Avalanche'!I64,'Calc Snowball'!I64,'Calc Cashflow'!I64)</f>
        <v/>
      </c>
      <c r="M58" s="65">
        <f>CHOOSE(Plan!$K$5,'Calc Smart'!J64,'Calc Avalanche'!J64,'Calc Snowball'!J64,'Calc Cashflow'!J64)</f>
        <v/>
      </c>
      <c r="N58" s="65">
        <f>CHOOSE(Plan!$K$5,'Calc Smart'!K64,'Calc Avalanche'!K64,'Calc Snowball'!K64,'Calc Cashflow'!K64)</f>
        <v/>
      </c>
      <c r="O58" s="65">
        <f>CHOOSE(Plan!$K$5,'Calc Smart'!L64,'Calc Avalanche'!L64,'Calc Snowball'!L64,'Calc Cashflow'!L64)</f>
        <v/>
      </c>
      <c r="P58" s="65">
        <f>CHOOSE(Plan!$K$5,'Calc Smart'!M64,'Calc Avalanche'!M64,'Calc Snowball'!M64,'Calc Cashflow'!M64)</f>
        <v/>
      </c>
      <c r="Q58" s="65">
        <f>CHOOSE(Plan!$K$5,'Calc Smart'!N64,'Calc Avalanche'!N64,'Calc Snowball'!N64,'Calc Cashflow'!N64)</f>
        <v/>
      </c>
    </row>
    <row r="59">
      <c r="B59" s="66">
        <f>EDATE(Plan!$C$6,53)</f>
        <v/>
      </c>
      <c r="C59" s="32">
        <f>CHOOSE(Plan!$K$5,'Calc Smart'!AE65,'Calc Avalanche'!AE65,'Calc Snowball'!AE65,'Calc Cashflow'!AE65)</f>
        <v/>
      </c>
      <c r="D59" s="32">
        <f>CHOOSE(Plan!$K$5,'Calc Smart'!AD65,'Calc Avalanche'!AD65,'Calc Snowball'!AD65,'Calc Cashflow'!AD65)</f>
        <v/>
      </c>
      <c r="E59" s="43">
        <f>CHOOSE(Plan!$K$5,COUNTIF('Calc Smart'!C65:N65,"&gt;0"),COUNTIF('Calc Avalanche'!C65:N65,"&gt;0"),COUNTIF('Calc Snowball'!C65:N65,"&gt;0"),COUNTIF('Calc Cashflow'!C65:N65,"&gt;0"))</f>
        <v/>
      </c>
      <c r="F59" s="67">
        <f>CHOOSE(Plan!$K$5,'Calc Smart'!C65,'Calc Avalanche'!C65,'Calc Snowball'!C65,'Calc Cashflow'!C65)</f>
        <v/>
      </c>
      <c r="G59" s="67">
        <f>CHOOSE(Plan!$K$5,'Calc Smart'!D65,'Calc Avalanche'!D65,'Calc Snowball'!D65,'Calc Cashflow'!D65)</f>
        <v/>
      </c>
      <c r="H59" s="67">
        <f>CHOOSE(Plan!$K$5,'Calc Smart'!E65,'Calc Avalanche'!E65,'Calc Snowball'!E65,'Calc Cashflow'!E65)</f>
        <v/>
      </c>
      <c r="I59" s="67">
        <f>CHOOSE(Plan!$K$5,'Calc Smart'!F65,'Calc Avalanche'!F65,'Calc Snowball'!F65,'Calc Cashflow'!F65)</f>
        <v/>
      </c>
      <c r="J59" s="67">
        <f>CHOOSE(Plan!$K$5,'Calc Smart'!G65,'Calc Avalanche'!G65,'Calc Snowball'!G65,'Calc Cashflow'!G65)</f>
        <v/>
      </c>
      <c r="K59" s="67">
        <f>CHOOSE(Plan!$K$5,'Calc Smart'!H65,'Calc Avalanche'!H65,'Calc Snowball'!H65,'Calc Cashflow'!H65)</f>
        <v/>
      </c>
      <c r="L59" s="67">
        <f>CHOOSE(Plan!$K$5,'Calc Smart'!I65,'Calc Avalanche'!I65,'Calc Snowball'!I65,'Calc Cashflow'!I65)</f>
        <v/>
      </c>
      <c r="M59" s="67">
        <f>CHOOSE(Plan!$K$5,'Calc Smart'!J65,'Calc Avalanche'!J65,'Calc Snowball'!J65,'Calc Cashflow'!J65)</f>
        <v/>
      </c>
      <c r="N59" s="67">
        <f>CHOOSE(Plan!$K$5,'Calc Smart'!K65,'Calc Avalanche'!K65,'Calc Snowball'!K65,'Calc Cashflow'!K65)</f>
        <v/>
      </c>
      <c r="O59" s="67">
        <f>CHOOSE(Plan!$K$5,'Calc Smart'!L65,'Calc Avalanche'!L65,'Calc Snowball'!L65,'Calc Cashflow'!L65)</f>
        <v/>
      </c>
      <c r="P59" s="67">
        <f>CHOOSE(Plan!$K$5,'Calc Smart'!M65,'Calc Avalanche'!M65,'Calc Snowball'!M65,'Calc Cashflow'!M65)</f>
        <v/>
      </c>
      <c r="Q59" s="67">
        <f>CHOOSE(Plan!$K$5,'Calc Smart'!N65,'Calc Avalanche'!N65,'Calc Snowball'!N65,'Calc Cashflow'!N65)</f>
        <v/>
      </c>
    </row>
    <row r="60">
      <c r="B60" s="64">
        <f>EDATE(Plan!$C$6,54)</f>
        <v/>
      </c>
      <c r="C60" s="31">
        <f>CHOOSE(Plan!$K$5,'Calc Smart'!AE66,'Calc Avalanche'!AE66,'Calc Snowball'!AE66,'Calc Cashflow'!AE66)</f>
        <v/>
      </c>
      <c r="D60" s="31">
        <f>CHOOSE(Plan!$K$5,'Calc Smart'!AD66,'Calc Avalanche'!AD66,'Calc Snowball'!AD66,'Calc Cashflow'!AD66)</f>
        <v/>
      </c>
      <c r="E60" s="40">
        <f>CHOOSE(Plan!$K$5,COUNTIF('Calc Smart'!C66:N66,"&gt;0"),COUNTIF('Calc Avalanche'!C66:N66,"&gt;0"),COUNTIF('Calc Snowball'!C66:N66,"&gt;0"),COUNTIF('Calc Cashflow'!C66:N66,"&gt;0"))</f>
        <v/>
      </c>
      <c r="F60" s="65">
        <f>CHOOSE(Plan!$K$5,'Calc Smart'!C66,'Calc Avalanche'!C66,'Calc Snowball'!C66,'Calc Cashflow'!C66)</f>
        <v/>
      </c>
      <c r="G60" s="65">
        <f>CHOOSE(Plan!$K$5,'Calc Smart'!D66,'Calc Avalanche'!D66,'Calc Snowball'!D66,'Calc Cashflow'!D66)</f>
        <v/>
      </c>
      <c r="H60" s="65">
        <f>CHOOSE(Plan!$K$5,'Calc Smart'!E66,'Calc Avalanche'!E66,'Calc Snowball'!E66,'Calc Cashflow'!E66)</f>
        <v/>
      </c>
      <c r="I60" s="65">
        <f>CHOOSE(Plan!$K$5,'Calc Smart'!F66,'Calc Avalanche'!F66,'Calc Snowball'!F66,'Calc Cashflow'!F66)</f>
        <v/>
      </c>
      <c r="J60" s="65">
        <f>CHOOSE(Plan!$K$5,'Calc Smart'!G66,'Calc Avalanche'!G66,'Calc Snowball'!G66,'Calc Cashflow'!G66)</f>
        <v/>
      </c>
      <c r="K60" s="65">
        <f>CHOOSE(Plan!$K$5,'Calc Smart'!H66,'Calc Avalanche'!H66,'Calc Snowball'!H66,'Calc Cashflow'!H66)</f>
        <v/>
      </c>
      <c r="L60" s="65">
        <f>CHOOSE(Plan!$K$5,'Calc Smart'!I66,'Calc Avalanche'!I66,'Calc Snowball'!I66,'Calc Cashflow'!I66)</f>
        <v/>
      </c>
      <c r="M60" s="65">
        <f>CHOOSE(Plan!$K$5,'Calc Smart'!J66,'Calc Avalanche'!J66,'Calc Snowball'!J66,'Calc Cashflow'!J66)</f>
        <v/>
      </c>
      <c r="N60" s="65">
        <f>CHOOSE(Plan!$K$5,'Calc Smart'!K66,'Calc Avalanche'!K66,'Calc Snowball'!K66,'Calc Cashflow'!K66)</f>
        <v/>
      </c>
      <c r="O60" s="65">
        <f>CHOOSE(Plan!$K$5,'Calc Smart'!L66,'Calc Avalanche'!L66,'Calc Snowball'!L66,'Calc Cashflow'!L66)</f>
        <v/>
      </c>
      <c r="P60" s="65">
        <f>CHOOSE(Plan!$K$5,'Calc Smart'!M66,'Calc Avalanche'!M66,'Calc Snowball'!M66,'Calc Cashflow'!M66)</f>
        <v/>
      </c>
      <c r="Q60" s="65">
        <f>CHOOSE(Plan!$K$5,'Calc Smart'!N66,'Calc Avalanche'!N66,'Calc Snowball'!N66,'Calc Cashflow'!N66)</f>
        <v/>
      </c>
    </row>
    <row r="61">
      <c r="B61" s="66">
        <f>EDATE(Plan!$C$6,55)</f>
        <v/>
      </c>
      <c r="C61" s="32">
        <f>CHOOSE(Plan!$K$5,'Calc Smart'!AE67,'Calc Avalanche'!AE67,'Calc Snowball'!AE67,'Calc Cashflow'!AE67)</f>
        <v/>
      </c>
      <c r="D61" s="32">
        <f>CHOOSE(Plan!$K$5,'Calc Smart'!AD67,'Calc Avalanche'!AD67,'Calc Snowball'!AD67,'Calc Cashflow'!AD67)</f>
        <v/>
      </c>
      <c r="E61" s="43">
        <f>CHOOSE(Plan!$K$5,COUNTIF('Calc Smart'!C67:N67,"&gt;0"),COUNTIF('Calc Avalanche'!C67:N67,"&gt;0"),COUNTIF('Calc Snowball'!C67:N67,"&gt;0"),COUNTIF('Calc Cashflow'!C67:N67,"&gt;0"))</f>
        <v/>
      </c>
      <c r="F61" s="67">
        <f>CHOOSE(Plan!$K$5,'Calc Smart'!C67,'Calc Avalanche'!C67,'Calc Snowball'!C67,'Calc Cashflow'!C67)</f>
        <v/>
      </c>
      <c r="G61" s="67">
        <f>CHOOSE(Plan!$K$5,'Calc Smart'!D67,'Calc Avalanche'!D67,'Calc Snowball'!D67,'Calc Cashflow'!D67)</f>
        <v/>
      </c>
      <c r="H61" s="67">
        <f>CHOOSE(Plan!$K$5,'Calc Smart'!E67,'Calc Avalanche'!E67,'Calc Snowball'!E67,'Calc Cashflow'!E67)</f>
        <v/>
      </c>
      <c r="I61" s="67">
        <f>CHOOSE(Plan!$K$5,'Calc Smart'!F67,'Calc Avalanche'!F67,'Calc Snowball'!F67,'Calc Cashflow'!F67)</f>
        <v/>
      </c>
      <c r="J61" s="67">
        <f>CHOOSE(Plan!$K$5,'Calc Smart'!G67,'Calc Avalanche'!G67,'Calc Snowball'!G67,'Calc Cashflow'!G67)</f>
        <v/>
      </c>
      <c r="K61" s="67">
        <f>CHOOSE(Plan!$K$5,'Calc Smart'!H67,'Calc Avalanche'!H67,'Calc Snowball'!H67,'Calc Cashflow'!H67)</f>
        <v/>
      </c>
      <c r="L61" s="67">
        <f>CHOOSE(Plan!$K$5,'Calc Smart'!I67,'Calc Avalanche'!I67,'Calc Snowball'!I67,'Calc Cashflow'!I67)</f>
        <v/>
      </c>
      <c r="M61" s="67">
        <f>CHOOSE(Plan!$K$5,'Calc Smart'!J67,'Calc Avalanche'!J67,'Calc Snowball'!J67,'Calc Cashflow'!J67)</f>
        <v/>
      </c>
      <c r="N61" s="67">
        <f>CHOOSE(Plan!$K$5,'Calc Smart'!K67,'Calc Avalanche'!K67,'Calc Snowball'!K67,'Calc Cashflow'!K67)</f>
        <v/>
      </c>
      <c r="O61" s="67">
        <f>CHOOSE(Plan!$K$5,'Calc Smart'!L67,'Calc Avalanche'!L67,'Calc Snowball'!L67,'Calc Cashflow'!L67)</f>
        <v/>
      </c>
      <c r="P61" s="67">
        <f>CHOOSE(Plan!$K$5,'Calc Smart'!M67,'Calc Avalanche'!M67,'Calc Snowball'!M67,'Calc Cashflow'!M67)</f>
        <v/>
      </c>
      <c r="Q61" s="67">
        <f>CHOOSE(Plan!$K$5,'Calc Smart'!N67,'Calc Avalanche'!N67,'Calc Snowball'!N67,'Calc Cashflow'!N67)</f>
        <v/>
      </c>
    </row>
    <row r="62">
      <c r="B62" s="64">
        <f>EDATE(Plan!$C$6,56)</f>
        <v/>
      </c>
      <c r="C62" s="31">
        <f>CHOOSE(Plan!$K$5,'Calc Smart'!AE68,'Calc Avalanche'!AE68,'Calc Snowball'!AE68,'Calc Cashflow'!AE68)</f>
        <v/>
      </c>
      <c r="D62" s="31">
        <f>CHOOSE(Plan!$K$5,'Calc Smart'!AD68,'Calc Avalanche'!AD68,'Calc Snowball'!AD68,'Calc Cashflow'!AD68)</f>
        <v/>
      </c>
      <c r="E62" s="40">
        <f>CHOOSE(Plan!$K$5,COUNTIF('Calc Smart'!C68:N68,"&gt;0"),COUNTIF('Calc Avalanche'!C68:N68,"&gt;0"),COUNTIF('Calc Snowball'!C68:N68,"&gt;0"),COUNTIF('Calc Cashflow'!C68:N68,"&gt;0"))</f>
        <v/>
      </c>
      <c r="F62" s="65">
        <f>CHOOSE(Plan!$K$5,'Calc Smart'!C68,'Calc Avalanche'!C68,'Calc Snowball'!C68,'Calc Cashflow'!C68)</f>
        <v/>
      </c>
      <c r="G62" s="65">
        <f>CHOOSE(Plan!$K$5,'Calc Smart'!D68,'Calc Avalanche'!D68,'Calc Snowball'!D68,'Calc Cashflow'!D68)</f>
        <v/>
      </c>
      <c r="H62" s="65">
        <f>CHOOSE(Plan!$K$5,'Calc Smart'!E68,'Calc Avalanche'!E68,'Calc Snowball'!E68,'Calc Cashflow'!E68)</f>
        <v/>
      </c>
      <c r="I62" s="65">
        <f>CHOOSE(Plan!$K$5,'Calc Smart'!F68,'Calc Avalanche'!F68,'Calc Snowball'!F68,'Calc Cashflow'!F68)</f>
        <v/>
      </c>
      <c r="J62" s="65">
        <f>CHOOSE(Plan!$K$5,'Calc Smart'!G68,'Calc Avalanche'!G68,'Calc Snowball'!G68,'Calc Cashflow'!G68)</f>
        <v/>
      </c>
      <c r="K62" s="65">
        <f>CHOOSE(Plan!$K$5,'Calc Smart'!H68,'Calc Avalanche'!H68,'Calc Snowball'!H68,'Calc Cashflow'!H68)</f>
        <v/>
      </c>
      <c r="L62" s="65">
        <f>CHOOSE(Plan!$K$5,'Calc Smart'!I68,'Calc Avalanche'!I68,'Calc Snowball'!I68,'Calc Cashflow'!I68)</f>
        <v/>
      </c>
      <c r="M62" s="65">
        <f>CHOOSE(Plan!$K$5,'Calc Smart'!J68,'Calc Avalanche'!J68,'Calc Snowball'!J68,'Calc Cashflow'!J68)</f>
        <v/>
      </c>
      <c r="N62" s="65">
        <f>CHOOSE(Plan!$K$5,'Calc Smart'!K68,'Calc Avalanche'!K68,'Calc Snowball'!K68,'Calc Cashflow'!K68)</f>
        <v/>
      </c>
      <c r="O62" s="65">
        <f>CHOOSE(Plan!$K$5,'Calc Smart'!L68,'Calc Avalanche'!L68,'Calc Snowball'!L68,'Calc Cashflow'!L68)</f>
        <v/>
      </c>
      <c r="P62" s="65">
        <f>CHOOSE(Plan!$K$5,'Calc Smart'!M68,'Calc Avalanche'!M68,'Calc Snowball'!M68,'Calc Cashflow'!M68)</f>
        <v/>
      </c>
      <c r="Q62" s="65">
        <f>CHOOSE(Plan!$K$5,'Calc Smart'!N68,'Calc Avalanche'!N68,'Calc Snowball'!N68,'Calc Cashflow'!N68)</f>
        <v/>
      </c>
    </row>
    <row r="63">
      <c r="B63" s="66">
        <f>EDATE(Plan!$C$6,57)</f>
        <v/>
      </c>
      <c r="C63" s="32">
        <f>CHOOSE(Plan!$K$5,'Calc Smart'!AE69,'Calc Avalanche'!AE69,'Calc Snowball'!AE69,'Calc Cashflow'!AE69)</f>
        <v/>
      </c>
      <c r="D63" s="32">
        <f>CHOOSE(Plan!$K$5,'Calc Smart'!AD69,'Calc Avalanche'!AD69,'Calc Snowball'!AD69,'Calc Cashflow'!AD69)</f>
        <v/>
      </c>
      <c r="E63" s="43">
        <f>CHOOSE(Plan!$K$5,COUNTIF('Calc Smart'!C69:N69,"&gt;0"),COUNTIF('Calc Avalanche'!C69:N69,"&gt;0"),COUNTIF('Calc Snowball'!C69:N69,"&gt;0"),COUNTIF('Calc Cashflow'!C69:N69,"&gt;0"))</f>
        <v/>
      </c>
      <c r="F63" s="67">
        <f>CHOOSE(Plan!$K$5,'Calc Smart'!C69,'Calc Avalanche'!C69,'Calc Snowball'!C69,'Calc Cashflow'!C69)</f>
        <v/>
      </c>
      <c r="G63" s="67">
        <f>CHOOSE(Plan!$K$5,'Calc Smart'!D69,'Calc Avalanche'!D69,'Calc Snowball'!D69,'Calc Cashflow'!D69)</f>
        <v/>
      </c>
      <c r="H63" s="67">
        <f>CHOOSE(Plan!$K$5,'Calc Smart'!E69,'Calc Avalanche'!E69,'Calc Snowball'!E69,'Calc Cashflow'!E69)</f>
        <v/>
      </c>
      <c r="I63" s="67">
        <f>CHOOSE(Plan!$K$5,'Calc Smart'!F69,'Calc Avalanche'!F69,'Calc Snowball'!F69,'Calc Cashflow'!F69)</f>
        <v/>
      </c>
      <c r="J63" s="67">
        <f>CHOOSE(Plan!$K$5,'Calc Smart'!G69,'Calc Avalanche'!G69,'Calc Snowball'!G69,'Calc Cashflow'!G69)</f>
        <v/>
      </c>
      <c r="K63" s="67">
        <f>CHOOSE(Plan!$K$5,'Calc Smart'!H69,'Calc Avalanche'!H69,'Calc Snowball'!H69,'Calc Cashflow'!H69)</f>
        <v/>
      </c>
      <c r="L63" s="67">
        <f>CHOOSE(Plan!$K$5,'Calc Smart'!I69,'Calc Avalanche'!I69,'Calc Snowball'!I69,'Calc Cashflow'!I69)</f>
        <v/>
      </c>
      <c r="M63" s="67">
        <f>CHOOSE(Plan!$K$5,'Calc Smart'!J69,'Calc Avalanche'!J69,'Calc Snowball'!J69,'Calc Cashflow'!J69)</f>
        <v/>
      </c>
      <c r="N63" s="67">
        <f>CHOOSE(Plan!$K$5,'Calc Smart'!K69,'Calc Avalanche'!K69,'Calc Snowball'!K69,'Calc Cashflow'!K69)</f>
        <v/>
      </c>
      <c r="O63" s="67">
        <f>CHOOSE(Plan!$K$5,'Calc Smart'!L69,'Calc Avalanche'!L69,'Calc Snowball'!L69,'Calc Cashflow'!L69)</f>
        <v/>
      </c>
      <c r="P63" s="67">
        <f>CHOOSE(Plan!$K$5,'Calc Smart'!M69,'Calc Avalanche'!M69,'Calc Snowball'!M69,'Calc Cashflow'!M69)</f>
        <v/>
      </c>
      <c r="Q63" s="67">
        <f>CHOOSE(Plan!$K$5,'Calc Smart'!N69,'Calc Avalanche'!N69,'Calc Snowball'!N69,'Calc Cashflow'!N69)</f>
        <v/>
      </c>
    </row>
    <row r="64">
      <c r="B64" s="64">
        <f>EDATE(Plan!$C$6,58)</f>
        <v/>
      </c>
      <c r="C64" s="31">
        <f>CHOOSE(Plan!$K$5,'Calc Smart'!AE70,'Calc Avalanche'!AE70,'Calc Snowball'!AE70,'Calc Cashflow'!AE70)</f>
        <v/>
      </c>
      <c r="D64" s="31">
        <f>CHOOSE(Plan!$K$5,'Calc Smart'!AD70,'Calc Avalanche'!AD70,'Calc Snowball'!AD70,'Calc Cashflow'!AD70)</f>
        <v/>
      </c>
      <c r="E64" s="40">
        <f>CHOOSE(Plan!$K$5,COUNTIF('Calc Smart'!C70:N70,"&gt;0"),COUNTIF('Calc Avalanche'!C70:N70,"&gt;0"),COUNTIF('Calc Snowball'!C70:N70,"&gt;0"),COUNTIF('Calc Cashflow'!C70:N70,"&gt;0"))</f>
        <v/>
      </c>
      <c r="F64" s="65">
        <f>CHOOSE(Plan!$K$5,'Calc Smart'!C70,'Calc Avalanche'!C70,'Calc Snowball'!C70,'Calc Cashflow'!C70)</f>
        <v/>
      </c>
      <c r="G64" s="65">
        <f>CHOOSE(Plan!$K$5,'Calc Smart'!D70,'Calc Avalanche'!D70,'Calc Snowball'!D70,'Calc Cashflow'!D70)</f>
        <v/>
      </c>
      <c r="H64" s="65">
        <f>CHOOSE(Plan!$K$5,'Calc Smart'!E70,'Calc Avalanche'!E70,'Calc Snowball'!E70,'Calc Cashflow'!E70)</f>
        <v/>
      </c>
      <c r="I64" s="65">
        <f>CHOOSE(Plan!$K$5,'Calc Smart'!F70,'Calc Avalanche'!F70,'Calc Snowball'!F70,'Calc Cashflow'!F70)</f>
        <v/>
      </c>
      <c r="J64" s="65">
        <f>CHOOSE(Plan!$K$5,'Calc Smart'!G70,'Calc Avalanche'!G70,'Calc Snowball'!G70,'Calc Cashflow'!G70)</f>
        <v/>
      </c>
      <c r="K64" s="65">
        <f>CHOOSE(Plan!$K$5,'Calc Smart'!H70,'Calc Avalanche'!H70,'Calc Snowball'!H70,'Calc Cashflow'!H70)</f>
        <v/>
      </c>
      <c r="L64" s="65">
        <f>CHOOSE(Plan!$K$5,'Calc Smart'!I70,'Calc Avalanche'!I70,'Calc Snowball'!I70,'Calc Cashflow'!I70)</f>
        <v/>
      </c>
      <c r="M64" s="65">
        <f>CHOOSE(Plan!$K$5,'Calc Smart'!J70,'Calc Avalanche'!J70,'Calc Snowball'!J70,'Calc Cashflow'!J70)</f>
        <v/>
      </c>
      <c r="N64" s="65">
        <f>CHOOSE(Plan!$K$5,'Calc Smart'!K70,'Calc Avalanche'!K70,'Calc Snowball'!K70,'Calc Cashflow'!K70)</f>
        <v/>
      </c>
      <c r="O64" s="65">
        <f>CHOOSE(Plan!$K$5,'Calc Smart'!L70,'Calc Avalanche'!L70,'Calc Snowball'!L70,'Calc Cashflow'!L70)</f>
        <v/>
      </c>
      <c r="P64" s="65">
        <f>CHOOSE(Plan!$K$5,'Calc Smart'!M70,'Calc Avalanche'!M70,'Calc Snowball'!M70,'Calc Cashflow'!M70)</f>
        <v/>
      </c>
      <c r="Q64" s="65">
        <f>CHOOSE(Plan!$K$5,'Calc Smart'!N70,'Calc Avalanche'!N70,'Calc Snowball'!N70,'Calc Cashflow'!N70)</f>
        <v/>
      </c>
    </row>
    <row r="65">
      <c r="B65" s="66">
        <f>EDATE(Plan!$C$6,59)</f>
        <v/>
      </c>
      <c r="C65" s="32">
        <f>CHOOSE(Plan!$K$5,'Calc Smart'!AE71,'Calc Avalanche'!AE71,'Calc Snowball'!AE71,'Calc Cashflow'!AE71)</f>
        <v/>
      </c>
      <c r="D65" s="32">
        <f>CHOOSE(Plan!$K$5,'Calc Smart'!AD71,'Calc Avalanche'!AD71,'Calc Snowball'!AD71,'Calc Cashflow'!AD71)</f>
        <v/>
      </c>
      <c r="E65" s="43">
        <f>CHOOSE(Plan!$K$5,COUNTIF('Calc Smart'!C71:N71,"&gt;0"),COUNTIF('Calc Avalanche'!C71:N71,"&gt;0"),COUNTIF('Calc Snowball'!C71:N71,"&gt;0"),COUNTIF('Calc Cashflow'!C71:N71,"&gt;0"))</f>
        <v/>
      </c>
      <c r="F65" s="67">
        <f>CHOOSE(Plan!$K$5,'Calc Smart'!C71,'Calc Avalanche'!C71,'Calc Snowball'!C71,'Calc Cashflow'!C71)</f>
        <v/>
      </c>
      <c r="G65" s="67">
        <f>CHOOSE(Plan!$K$5,'Calc Smart'!D71,'Calc Avalanche'!D71,'Calc Snowball'!D71,'Calc Cashflow'!D71)</f>
        <v/>
      </c>
      <c r="H65" s="67">
        <f>CHOOSE(Plan!$K$5,'Calc Smart'!E71,'Calc Avalanche'!E71,'Calc Snowball'!E71,'Calc Cashflow'!E71)</f>
        <v/>
      </c>
      <c r="I65" s="67">
        <f>CHOOSE(Plan!$K$5,'Calc Smart'!F71,'Calc Avalanche'!F71,'Calc Snowball'!F71,'Calc Cashflow'!F71)</f>
        <v/>
      </c>
      <c r="J65" s="67">
        <f>CHOOSE(Plan!$K$5,'Calc Smart'!G71,'Calc Avalanche'!G71,'Calc Snowball'!G71,'Calc Cashflow'!G71)</f>
        <v/>
      </c>
      <c r="K65" s="67">
        <f>CHOOSE(Plan!$K$5,'Calc Smart'!H71,'Calc Avalanche'!H71,'Calc Snowball'!H71,'Calc Cashflow'!H71)</f>
        <v/>
      </c>
      <c r="L65" s="67">
        <f>CHOOSE(Plan!$K$5,'Calc Smart'!I71,'Calc Avalanche'!I71,'Calc Snowball'!I71,'Calc Cashflow'!I71)</f>
        <v/>
      </c>
      <c r="M65" s="67">
        <f>CHOOSE(Plan!$K$5,'Calc Smart'!J71,'Calc Avalanche'!J71,'Calc Snowball'!J71,'Calc Cashflow'!J71)</f>
        <v/>
      </c>
      <c r="N65" s="67">
        <f>CHOOSE(Plan!$K$5,'Calc Smart'!K71,'Calc Avalanche'!K71,'Calc Snowball'!K71,'Calc Cashflow'!K71)</f>
        <v/>
      </c>
      <c r="O65" s="67">
        <f>CHOOSE(Plan!$K$5,'Calc Smart'!L71,'Calc Avalanche'!L71,'Calc Snowball'!L71,'Calc Cashflow'!L71)</f>
        <v/>
      </c>
      <c r="P65" s="67">
        <f>CHOOSE(Plan!$K$5,'Calc Smart'!M71,'Calc Avalanche'!M71,'Calc Snowball'!M71,'Calc Cashflow'!M71)</f>
        <v/>
      </c>
      <c r="Q65" s="67">
        <f>CHOOSE(Plan!$K$5,'Calc Smart'!N71,'Calc Avalanche'!N71,'Calc Snowball'!N71,'Calc Cashflow'!N71)</f>
        <v/>
      </c>
    </row>
    <row r="66">
      <c r="B66" s="64">
        <f>EDATE(Plan!$C$6,60)</f>
        <v/>
      </c>
      <c r="C66" s="31">
        <f>CHOOSE(Plan!$K$5,'Calc Smart'!AE72,'Calc Avalanche'!AE72,'Calc Snowball'!AE72,'Calc Cashflow'!AE72)</f>
        <v/>
      </c>
      <c r="D66" s="31">
        <f>CHOOSE(Plan!$K$5,'Calc Smart'!AD72,'Calc Avalanche'!AD72,'Calc Snowball'!AD72,'Calc Cashflow'!AD72)</f>
        <v/>
      </c>
      <c r="E66" s="40">
        <f>CHOOSE(Plan!$K$5,COUNTIF('Calc Smart'!C72:N72,"&gt;0"),COUNTIF('Calc Avalanche'!C72:N72,"&gt;0"),COUNTIF('Calc Snowball'!C72:N72,"&gt;0"),COUNTIF('Calc Cashflow'!C72:N72,"&gt;0"))</f>
        <v/>
      </c>
      <c r="F66" s="65">
        <f>CHOOSE(Plan!$K$5,'Calc Smart'!C72,'Calc Avalanche'!C72,'Calc Snowball'!C72,'Calc Cashflow'!C72)</f>
        <v/>
      </c>
      <c r="G66" s="65">
        <f>CHOOSE(Plan!$K$5,'Calc Smart'!D72,'Calc Avalanche'!D72,'Calc Snowball'!D72,'Calc Cashflow'!D72)</f>
        <v/>
      </c>
      <c r="H66" s="65">
        <f>CHOOSE(Plan!$K$5,'Calc Smart'!E72,'Calc Avalanche'!E72,'Calc Snowball'!E72,'Calc Cashflow'!E72)</f>
        <v/>
      </c>
      <c r="I66" s="65">
        <f>CHOOSE(Plan!$K$5,'Calc Smart'!F72,'Calc Avalanche'!F72,'Calc Snowball'!F72,'Calc Cashflow'!F72)</f>
        <v/>
      </c>
      <c r="J66" s="65">
        <f>CHOOSE(Plan!$K$5,'Calc Smart'!G72,'Calc Avalanche'!G72,'Calc Snowball'!G72,'Calc Cashflow'!G72)</f>
        <v/>
      </c>
      <c r="K66" s="65">
        <f>CHOOSE(Plan!$K$5,'Calc Smart'!H72,'Calc Avalanche'!H72,'Calc Snowball'!H72,'Calc Cashflow'!H72)</f>
        <v/>
      </c>
      <c r="L66" s="65">
        <f>CHOOSE(Plan!$K$5,'Calc Smart'!I72,'Calc Avalanche'!I72,'Calc Snowball'!I72,'Calc Cashflow'!I72)</f>
        <v/>
      </c>
      <c r="M66" s="65">
        <f>CHOOSE(Plan!$K$5,'Calc Smart'!J72,'Calc Avalanche'!J72,'Calc Snowball'!J72,'Calc Cashflow'!J72)</f>
        <v/>
      </c>
      <c r="N66" s="65">
        <f>CHOOSE(Plan!$K$5,'Calc Smart'!K72,'Calc Avalanche'!K72,'Calc Snowball'!K72,'Calc Cashflow'!K72)</f>
        <v/>
      </c>
      <c r="O66" s="65">
        <f>CHOOSE(Plan!$K$5,'Calc Smart'!L72,'Calc Avalanche'!L72,'Calc Snowball'!L72,'Calc Cashflow'!L72)</f>
        <v/>
      </c>
      <c r="P66" s="65">
        <f>CHOOSE(Plan!$K$5,'Calc Smart'!M72,'Calc Avalanche'!M72,'Calc Snowball'!M72,'Calc Cashflow'!M72)</f>
        <v/>
      </c>
      <c r="Q66" s="65">
        <f>CHOOSE(Plan!$K$5,'Calc Smart'!N72,'Calc Avalanche'!N72,'Calc Snowball'!N72,'Calc Cashflow'!N72)</f>
        <v/>
      </c>
    </row>
    <row r="67">
      <c r="B67" s="66">
        <f>EDATE(Plan!$C$6,61)</f>
        <v/>
      </c>
      <c r="C67" s="32">
        <f>CHOOSE(Plan!$K$5,'Calc Smart'!AE73,'Calc Avalanche'!AE73,'Calc Snowball'!AE73,'Calc Cashflow'!AE73)</f>
        <v/>
      </c>
      <c r="D67" s="32">
        <f>CHOOSE(Plan!$K$5,'Calc Smart'!AD73,'Calc Avalanche'!AD73,'Calc Snowball'!AD73,'Calc Cashflow'!AD73)</f>
        <v/>
      </c>
      <c r="E67" s="43">
        <f>CHOOSE(Plan!$K$5,COUNTIF('Calc Smart'!C73:N73,"&gt;0"),COUNTIF('Calc Avalanche'!C73:N73,"&gt;0"),COUNTIF('Calc Snowball'!C73:N73,"&gt;0"),COUNTIF('Calc Cashflow'!C73:N73,"&gt;0"))</f>
        <v/>
      </c>
      <c r="F67" s="67">
        <f>CHOOSE(Plan!$K$5,'Calc Smart'!C73,'Calc Avalanche'!C73,'Calc Snowball'!C73,'Calc Cashflow'!C73)</f>
        <v/>
      </c>
      <c r="G67" s="67">
        <f>CHOOSE(Plan!$K$5,'Calc Smart'!D73,'Calc Avalanche'!D73,'Calc Snowball'!D73,'Calc Cashflow'!D73)</f>
        <v/>
      </c>
      <c r="H67" s="67">
        <f>CHOOSE(Plan!$K$5,'Calc Smart'!E73,'Calc Avalanche'!E73,'Calc Snowball'!E73,'Calc Cashflow'!E73)</f>
        <v/>
      </c>
      <c r="I67" s="67">
        <f>CHOOSE(Plan!$K$5,'Calc Smart'!F73,'Calc Avalanche'!F73,'Calc Snowball'!F73,'Calc Cashflow'!F73)</f>
        <v/>
      </c>
      <c r="J67" s="67">
        <f>CHOOSE(Plan!$K$5,'Calc Smart'!G73,'Calc Avalanche'!G73,'Calc Snowball'!G73,'Calc Cashflow'!G73)</f>
        <v/>
      </c>
      <c r="K67" s="67">
        <f>CHOOSE(Plan!$K$5,'Calc Smart'!H73,'Calc Avalanche'!H73,'Calc Snowball'!H73,'Calc Cashflow'!H73)</f>
        <v/>
      </c>
      <c r="L67" s="67">
        <f>CHOOSE(Plan!$K$5,'Calc Smart'!I73,'Calc Avalanche'!I73,'Calc Snowball'!I73,'Calc Cashflow'!I73)</f>
        <v/>
      </c>
      <c r="M67" s="67">
        <f>CHOOSE(Plan!$K$5,'Calc Smart'!J73,'Calc Avalanche'!J73,'Calc Snowball'!J73,'Calc Cashflow'!J73)</f>
        <v/>
      </c>
      <c r="N67" s="67">
        <f>CHOOSE(Plan!$K$5,'Calc Smart'!K73,'Calc Avalanche'!K73,'Calc Snowball'!K73,'Calc Cashflow'!K73)</f>
        <v/>
      </c>
      <c r="O67" s="67">
        <f>CHOOSE(Plan!$K$5,'Calc Smart'!L73,'Calc Avalanche'!L73,'Calc Snowball'!L73,'Calc Cashflow'!L73)</f>
        <v/>
      </c>
      <c r="P67" s="67">
        <f>CHOOSE(Plan!$K$5,'Calc Smart'!M73,'Calc Avalanche'!M73,'Calc Snowball'!M73,'Calc Cashflow'!M73)</f>
        <v/>
      </c>
      <c r="Q67" s="67">
        <f>CHOOSE(Plan!$K$5,'Calc Smart'!N73,'Calc Avalanche'!N73,'Calc Snowball'!N73,'Calc Cashflow'!N73)</f>
        <v/>
      </c>
    </row>
    <row r="68">
      <c r="B68" s="64">
        <f>EDATE(Plan!$C$6,62)</f>
        <v/>
      </c>
      <c r="C68" s="31">
        <f>CHOOSE(Plan!$K$5,'Calc Smart'!AE74,'Calc Avalanche'!AE74,'Calc Snowball'!AE74,'Calc Cashflow'!AE74)</f>
        <v/>
      </c>
      <c r="D68" s="31">
        <f>CHOOSE(Plan!$K$5,'Calc Smart'!AD74,'Calc Avalanche'!AD74,'Calc Snowball'!AD74,'Calc Cashflow'!AD74)</f>
        <v/>
      </c>
      <c r="E68" s="40">
        <f>CHOOSE(Plan!$K$5,COUNTIF('Calc Smart'!C74:N74,"&gt;0"),COUNTIF('Calc Avalanche'!C74:N74,"&gt;0"),COUNTIF('Calc Snowball'!C74:N74,"&gt;0"),COUNTIF('Calc Cashflow'!C74:N74,"&gt;0"))</f>
        <v/>
      </c>
      <c r="F68" s="65">
        <f>CHOOSE(Plan!$K$5,'Calc Smart'!C74,'Calc Avalanche'!C74,'Calc Snowball'!C74,'Calc Cashflow'!C74)</f>
        <v/>
      </c>
      <c r="G68" s="65">
        <f>CHOOSE(Plan!$K$5,'Calc Smart'!D74,'Calc Avalanche'!D74,'Calc Snowball'!D74,'Calc Cashflow'!D74)</f>
        <v/>
      </c>
      <c r="H68" s="65">
        <f>CHOOSE(Plan!$K$5,'Calc Smart'!E74,'Calc Avalanche'!E74,'Calc Snowball'!E74,'Calc Cashflow'!E74)</f>
        <v/>
      </c>
      <c r="I68" s="65">
        <f>CHOOSE(Plan!$K$5,'Calc Smart'!F74,'Calc Avalanche'!F74,'Calc Snowball'!F74,'Calc Cashflow'!F74)</f>
        <v/>
      </c>
      <c r="J68" s="65">
        <f>CHOOSE(Plan!$K$5,'Calc Smart'!G74,'Calc Avalanche'!G74,'Calc Snowball'!G74,'Calc Cashflow'!G74)</f>
        <v/>
      </c>
      <c r="K68" s="65">
        <f>CHOOSE(Plan!$K$5,'Calc Smart'!H74,'Calc Avalanche'!H74,'Calc Snowball'!H74,'Calc Cashflow'!H74)</f>
        <v/>
      </c>
      <c r="L68" s="65">
        <f>CHOOSE(Plan!$K$5,'Calc Smart'!I74,'Calc Avalanche'!I74,'Calc Snowball'!I74,'Calc Cashflow'!I74)</f>
        <v/>
      </c>
      <c r="M68" s="65">
        <f>CHOOSE(Plan!$K$5,'Calc Smart'!J74,'Calc Avalanche'!J74,'Calc Snowball'!J74,'Calc Cashflow'!J74)</f>
        <v/>
      </c>
      <c r="N68" s="65">
        <f>CHOOSE(Plan!$K$5,'Calc Smart'!K74,'Calc Avalanche'!K74,'Calc Snowball'!K74,'Calc Cashflow'!K74)</f>
        <v/>
      </c>
      <c r="O68" s="65">
        <f>CHOOSE(Plan!$K$5,'Calc Smart'!L74,'Calc Avalanche'!L74,'Calc Snowball'!L74,'Calc Cashflow'!L74)</f>
        <v/>
      </c>
      <c r="P68" s="65">
        <f>CHOOSE(Plan!$K$5,'Calc Smart'!M74,'Calc Avalanche'!M74,'Calc Snowball'!M74,'Calc Cashflow'!M74)</f>
        <v/>
      </c>
      <c r="Q68" s="65">
        <f>CHOOSE(Plan!$K$5,'Calc Smart'!N74,'Calc Avalanche'!N74,'Calc Snowball'!N74,'Calc Cashflow'!N74)</f>
        <v/>
      </c>
    </row>
    <row r="69">
      <c r="B69" s="66">
        <f>EDATE(Plan!$C$6,63)</f>
        <v/>
      </c>
      <c r="C69" s="32">
        <f>CHOOSE(Plan!$K$5,'Calc Smart'!AE75,'Calc Avalanche'!AE75,'Calc Snowball'!AE75,'Calc Cashflow'!AE75)</f>
        <v/>
      </c>
      <c r="D69" s="32">
        <f>CHOOSE(Plan!$K$5,'Calc Smart'!AD75,'Calc Avalanche'!AD75,'Calc Snowball'!AD75,'Calc Cashflow'!AD75)</f>
        <v/>
      </c>
      <c r="E69" s="43">
        <f>CHOOSE(Plan!$K$5,COUNTIF('Calc Smart'!C75:N75,"&gt;0"),COUNTIF('Calc Avalanche'!C75:N75,"&gt;0"),COUNTIF('Calc Snowball'!C75:N75,"&gt;0"),COUNTIF('Calc Cashflow'!C75:N75,"&gt;0"))</f>
        <v/>
      </c>
      <c r="F69" s="67">
        <f>CHOOSE(Plan!$K$5,'Calc Smart'!C75,'Calc Avalanche'!C75,'Calc Snowball'!C75,'Calc Cashflow'!C75)</f>
        <v/>
      </c>
      <c r="G69" s="67">
        <f>CHOOSE(Plan!$K$5,'Calc Smart'!D75,'Calc Avalanche'!D75,'Calc Snowball'!D75,'Calc Cashflow'!D75)</f>
        <v/>
      </c>
      <c r="H69" s="67">
        <f>CHOOSE(Plan!$K$5,'Calc Smart'!E75,'Calc Avalanche'!E75,'Calc Snowball'!E75,'Calc Cashflow'!E75)</f>
        <v/>
      </c>
      <c r="I69" s="67">
        <f>CHOOSE(Plan!$K$5,'Calc Smart'!F75,'Calc Avalanche'!F75,'Calc Snowball'!F75,'Calc Cashflow'!F75)</f>
        <v/>
      </c>
      <c r="J69" s="67">
        <f>CHOOSE(Plan!$K$5,'Calc Smart'!G75,'Calc Avalanche'!G75,'Calc Snowball'!G75,'Calc Cashflow'!G75)</f>
        <v/>
      </c>
      <c r="K69" s="67">
        <f>CHOOSE(Plan!$K$5,'Calc Smart'!H75,'Calc Avalanche'!H75,'Calc Snowball'!H75,'Calc Cashflow'!H75)</f>
        <v/>
      </c>
      <c r="L69" s="67">
        <f>CHOOSE(Plan!$K$5,'Calc Smart'!I75,'Calc Avalanche'!I75,'Calc Snowball'!I75,'Calc Cashflow'!I75)</f>
        <v/>
      </c>
      <c r="M69" s="67">
        <f>CHOOSE(Plan!$K$5,'Calc Smart'!J75,'Calc Avalanche'!J75,'Calc Snowball'!J75,'Calc Cashflow'!J75)</f>
        <v/>
      </c>
      <c r="N69" s="67">
        <f>CHOOSE(Plan!$K$5,'Calc Smart'!K75,'Calc Avalanche'!K75,'Calc Snowball'!K75,'Calc Cashflow'!K75)</f>
        <v/>
      </c>
      <c r="O69" s="67">
        <f>CHOOSE(Plan!$K$5,'Calc Smart'!L75,'Calc Avalanche'!L75,'Calc Snowball'!L75,'Calc Cashflow'!L75)</f>
        <v/>
      </c>
      <c r="P69" s="67">
        <f>CHOOSE(Plan!$K$5,'Calc Smart'!M75,'Calc Avalanche'!M75,'Calc Snowball'!M75,'Calc Cashflow'!M75)</f>
        <v/>
      </c>
      <c r="Q69" s="67">
        <f>CHOOSE(Plan!$K$5,'Calc Smart'!N75,'Calc Avalanche'!N75,'Calc Snowball'!N75,'Calc Cashflow'!N75)</f>
        <v/>
      </c>
    </row>
    <row r="70">
      <c r="B70" s="64">
        <f>EDATE(Plan!$C$6,64)</f>
        <v/>
      </c>
      <c r="C70" s="31">
        <f>CHOOSE(Plan!$K$5,'Calc Smart'!AE76,'Calc Avalanche'!AE76,'Calc Snowball'!AE76,'Calc Cashflow'!AE76)</f>
        <v/>
      </c>
      <c r="D70" s="31">
        <f>CHOOSE(Plan!$K$5,'Calc Smart'!AD76,'Calc Avalanche'!AD76,'Calc Snowball'!AD76,'Calc Cashflow'!AD76)</f>
        <v/>
      </c>
      <c r="E70" s="40">
        <f>CHOOSE(Plan!$K$5,COUNTIF('Calc Smart'!C76:N76,"&gt;0"),COUNTIF('Calc Avalanche'!C76:N76,"&gt;0"),COUNTIF('Calc Snowball'!C76:N76,"&gt;0"),COUNTIF('Calc Cashflow'!C76:N76,"&gt;0"))</f>
        <v/>
      </c>
      <c r="F70" s="65">
        <f>CHOOSE(Plan!$K$5,'Calc Smart'!C76,'Calc Avalanche'!C76,'Calc Snowball'!C76,'Calc Cashflow'!C76)</f>
        <v/>
      </c>
      <c r="G70" s="65">
        <f>CHOOSE(Plan!$K$5,'Calc Smart'!D76,'Calc Avalanche'!D76,'Calc Snowball'!D76,'Calc Cashflow'!D76)</f>
        <v/>
      </c>
      <c r="H70" s="65">
        <f>CHOOSE(Plan!$K$5,'Calc Smart'!E76,'Calc Avalanche'!E76,'Calc Snowball'!E76,'Calc Cashflow'!E76)</f>
        <v/>
      </c>
      <c r="I70" s="65">
        <f>CHOOSE(Plan!$K$5,'Calc Smart'!F76,'Calc Avalanche'!F76,'Calc Snowball'!F76,'Calc Cashflow'!F76)</f>
        <v/>
      </c>
      <c r="J70" s="65">
        <f>CHOOSE(Plan!$K$5,'Calc Smart'!G76,'Calc Avalanche'!G76,'Calc Snowball'!G76,'Calc Cashflow'!G76)</f>
        <v/>
      </c>
      <c r="K70" s="65">
        <f>CHOOSE(Plan!$K$5,'Calc Smart'!H76,'Calc Avalanche'!H76,'Calc Snowball'!H76,'Calc Cashflow'!H76)</f>
        <v/>
      </c>
      <c r="L70" s="65">
        <f>CHOOSE(Plan!$K$5,'Calc Smart'!I76,'Calc Avalanche'!I76,'Calc Snowball'!I76,'Calc Cashflow'!I76)</f>
        <v/>
      </c>
      <c r="M70" s="65">
        <f>CHOOSE(Plan!$K$5,'Calc Smart'!J76,'Calc Avalanche'!J76,'Calc Snowball'!J76,'Calc Cashflow'!J76)</f>
        <v/>
      </c>
      <c r="N70" s="65">
        <f>CHOOSE(Plan!$K$5,'Calc Smart'!K76,'Calc Avalanche'!K76,'Calc Snowball'!K76,'Calc Cashflow'!K76)</f>
        <v/>
      </c>
      <c r="O70" s="65">
        <f>CHOOSE(Plan!$K$5,'Calc Smart'!L76,'Calc Avalanche'!L76,'Calc Snowball'!L76,'Calc Cashflow'!L76)</f>
        <v/>
      </c>
      <c r="P70" s="65">
        <f>CHOOSE(Plan!$K$5,'Calc Smart'!M76,'Calc Avalanche'!M76,'Calc Snowball'!M76,'Calc Cashflow'!M76)</f>
        <v/>
      </c>
      <c r="Q70" s="65">
        <f>CHOOSE(Plan!$K$5,'Calc Smart'!N76,'Calc Avalanche'!N76,'Calc Snowball'!N76,'Calc Cashflow'!N76)</f>
        <v/>
      </c>
    </row>
    <row r="71">
      <c r="B71" s="66">
        <f>EDATE(Plan!$C$6,65)</f>
        <v/>
      </c>
      <c r="C71" s="32">
        <f>CHOOSE(Plan!$K$5,'Calc Smart'!AE77,'Calc Avalanche'!AE77,'Calc Snowball'!AE77,'Calc Cashflow'!AE77)</f>
        <v/>
      </c>
      <c r="D71" s="32">
        <f>CHOOSE(Plan!$K$5,'Calc Smart'!AD77,'Calc Avalanche'!AD77,'Calc Snowball'!AD77,'Calc Cashflow'!AD77)</f>
        <v/>
      </c>
      <c r="E71" s="43">
        <f>CHOOSE(Plan!$K$5,COUNTIF('Calc Smart'!C77:N77,"&gt;0"),COUNTIF('Calc Avalanche'!C77:N77,"&gt;0"),COUNTIF('Calc Snowball'!C77:N77,"&gt;0"),COUNTIF('Calc Cashflow'!C77:N77,"&gt;0"))</f>
        <v/>
      </c>
      <c r="F71" s="67">
        <f>CHOOSE(Plan!$K$5,'Calc Smart'!C77,'Calc Avalanche'!C77,'Calc Snowball'!C77,'Calc Cashflow'!C77)</f>
        <v/>
      </c>
      <c r="G71" s="67">
        <f>CHOOSE(Plan!$K$5,'Calc Smart'!D77,'Calc Avalanche'!D77,'Calc Snowball'!D77,'Calc Cashflow'!D77)</f>
        <v/>
      </c>
      <c r="H71" s="67">
        <f>CHOOSE(Plan!$K$5,'Calc Smart'!E77,'Calc Avalanche'!E77,'Calc Snowball'!E77,'Calc Cashflow'!E77)</f>
        <v/>
      </c>
      <c r="I71" s="67">
        <f>CHOOSE(Plan!$K$5,'Calc Smart'!F77,'Calc Avalanche'!F77,'Calc Snowball'!F77,'Calc Cashflow'!F77)</f>
        <v/>
      </c>
      <c r="J71" s="67">
        <f>CHOOSE(Plan!$K$5,'Calc Smart'!G77,'Calc Avalanche'!G77,'Calc Snowball'!G77,'Calc Cashflow'!G77)</f>
        <v/>
      </c>
      <c r="K71" s="67">
        <f>CHOOSE(Plan!$K$5,'Calc Smart'!H77,'Calc Avalanche'!H77,'Calc Snowball'!H77,'Calc Cashflow'!H77)</f>
        <v/>
      </c>
      <c r="L71" s="67">
        <f>CHOOSE(Plan!$K$5,'Calc Smart'!I77,'Calc Avalanche'!I77,'Calc Snowball'!I77,'Calc Cashflow'!I77)</f>
        <v/>
      </c>
      <c r="M71" s="67">
        <f>CHOOSE(Plan!$K$5,'Calc Smart'!J77,'Calc Avalanche'!J77,'Calc Snowball'!J77,'Calc Cashflow'!J77)</f>
        <v/>
      </c>
      <c r="N71" s="67">
        <f>CHOOSE(Plan!$K$5,'Calc Smart'!K77,'Calc Avalanche'!K77,'Calc Snowball'!K77,'Calc Cashflow'!K77)</f>
        <v/>
      </c>
      <c r="O71" s="67">
        <f>CHOOSE(Plan!$K$5,'Calc Smart'!L77,'Calc Avalanche'!L77,'Calc Snowball'!L77,'Calc Cashflow'!L77)</f>
        <v/>
      </c>
      <c r="P71" s="67">
        <f>CHOOSE(Plan!$K$5,'Calc Smart'!M77,'Calc Avalanche'!M77,'Calc Snowball'!M77,'Calc Cashflow'!M77)</f>
        <v/>
      </c>
      <c r="Q71" s="67">
        <f>CHOOSE(Plan!$K$5,'Calc Smart'!N77,'Calc Avalanche'!N77,'Calc Snowball'!N77,'Calc Cashflow'!N77)</f>
        <v/>
      </c>
    </row>
    <row r="72">
      <c r="B72" s="64">
        <f>EDATE(Plan!$C$6,66)</f>
        <v/>
      </c>
      <c r="C72" s="31">
        <f>CHOOSE(Plan!$K$5,'Calc Smart'!AE78,'Calc Avalanche'!AE78,'Calc Snowball'!AE78,'Calc Cashflow'!AE78)</f>
        <v/>
      </c>
      <c r="D72" s="31">
        <f>CHOOSE(Plan!$K$5,'Calc Smart'!AD78,'Calc Avalanche'!AD78,'Calc Snowball'!AD78,'Calc Cashflow'!AD78)</f>
        <v/>
      </c>
      <c r="E72" s="40">
        <f>CHOOSE(Plan!$K$5,COUNTIF('Calc Smart'!C78:N78,"&gt;0"),COUNTIF('Calc Avalanche'!C78:N78,"&gt;0"),COUNTIF('Calc Snowball'!C78:N78,"&gt;0"),COUNTIF('Calc Cashflow'!C78:N78,"&gt;0"))</f>
        <v/>
      </c>
      <c r="F72" s="65">
        <f>CHOOSE(Plan!$K$5,'Calc Smart'!C78,'Calc Avalanche'!C78,'Calc Snowball'!C78,'Calc Cashflow'!C78)</f>
        <v/>
      </c>
      <c r="G72" s="65">
        <f>CHOOSE(Plan!$K$5,'Calc Smart'!D78,'Calc Avalanche'!D78,'Calc Snowball'!D78,'Calc Cashflow'!D78)</f>
        <v/>
      </c>
      <c r="H72" s="65">
        <f>CHOOSE(Plan!$K$5,'Calc Smart'!E78,'Calc Avalanche'!E78,'Calc Snowball'!E78,'Calc Cashflow'!E78)</f>
        <v/>
      </c>
      <c r="I72" s="65">
        <f>CHOOSE(Plan!$K$5,'Calc Smart'!F78,'Calc Avalanche'!F78,'Calc Snowball'!F78,'Calc Cashflow'!F78)</f>
        <v/>
      </c>
      <c r="J72" s="65">
        <f>CHOOSE(Plan!$K$5,'Calc Smart'!G78,'Calc Avalanche'!G78,'Calc Snowball'!G78,'Calc Cashflow'!G78)</f>
        <v/>
      </c>
      <c r="K72" s="65">
        <f>CHOOSE(Plan!$K$5,'Calc Smart'!H78,'Calc Avalanche'!H78,'Calc Snowball'!H78,'Calc Cashflow'!H78)</f>
        <v/>
      </c>
      <c r="L72" s="65">
        <f>CHOOSE(Plan!$K$5,'Calc Smart'!I78,'Calc Avalanche'!I78,'Calc Snowball'!I78,'Calc Cashflow'!I78)</f>
        <v/>
      </c>
      <c r="M72" s="65">
        <f>CHOOSE(Plan!$K$5,'Calc Smart'!J78,'Calc Avalanche'!J78,'Calc Snowball'!J78,'Calc Cashflow'!J78)</f>
        <v/>
      </c>
      <c r="N72" s="65">
        <f>CHOOSE(Plan!$K$5,'Calc Smart'!K78,'Calc Avalanche'!K78,'Calc Snowball'!K78,'Calc Cashflow'!K78)</f>
        <v/>
      </c>
      <c r="O72" s="65">
        <f>CHOOSE(Plan!$K$5,'Calc Smart'!L78,'Calc Avalanche'!L78,'Calc Snowball'!L78,'Calc Cashflow'!L78)</f>
        <v/>
      </c>
      <c r="P72" s="65">
        <f>CHOOSE(Plan!$K$5,'Calc Smart'!M78,'Calc Avalanche'!M78,'Calc Snowball'!M78,'Calc Cashflow'!M78)</f>
        <v/>
      </c>
      <c r="Q72" s="65">
        <f>CHOOSE(Plan!$K$5,'Calc Smart'!N78,'Calc Avalanche'!N78,'Calc Snowball'!N78,'Calc Cashflow'!N78)</f>
        <v/>
      </c>
    </row>
    <row r="73">
      <c r="B73" s="66">
        <f>EDATE(Plan!$C$6,67)</f>
        <v/>
      </c>
      <c r="C73" s="32">
        <f>CHOOSE(Plan!$K$5,'Calc Smart'!AE79,'Calc Avalanche'!AE79,'Calc Snowball'!AE79,'Calc Cashflow'!AE79)</f>
        <v/>
      </c>
      <c r="D73" s="32">
        <f>CHOOSE(Plan!$K$5,'Calc Smart'!AD79,'Calc Avalanche'!AD79,'Calc Snowball'!AD79,'Calc Cashflow'!AD79)</f>
        <v/>
      </c>
      <c r="E73" s="43">
        <f>CHOOSE(Plan!$K$5,COUNTIF('Calc Smart'!C79:N79,"&gt;0"),COUNTIF('Calc Avalanche'!C79:N79,"&gt;0"),COUNTIF('Calc Snowball'!C79:N79,"&gt;0"),COUNTIF('Calc Cashflow'!C79:N79,"&gt;0"))</f>
        <v/>
      </c>
      <c r="F73" s="67">
        <f>CHOOSE(Plan!$K$5,'Calc Smart'!C79,'Calc Avalanche'!C79,'Calc Snowball'!C79,'Calc Cashflow'!C79)</f>
        <v/>
      </c>
      <c r="G73" s="67">
        <f>CHOOSE(Plan!$K$5,'Calc Smart'!D79,'Calc Avalanche'!D79,'Calc Snowball'!D79,'Calc Cashflow'!D79)</f>
        <v/>
      </c>
      <c r="H73" s="67">
        <f>CHOOSE(Plan!$K$5,'Calc Smart'!E79,'Calc Avalanche'!E79,'Calc Snowball'!E79,'Calc Cashflow'!E79)</f>
        <v/>
      </c>
      <c r="I73" s="67">
        <f>CHOOSE(Plan!$K$5,'Calc Smart'!F79,'Calc Avalanche'!F79,'Calc Snowball'!F79,'Calc Cashflow'!F79)</f>
        <v/>
      </c>
      <c r="J73" s="67">
        <f>CHOOSE(Plan!$K$5,'Calc Smart'!G79,'Calc Avalanche'!G79,'Calc Snowball'!G79,'Calc Cashflow'!G79)</f>
        <v/>
      </c>
      <c r="K73" s="67">
        <f>CHOOSE(Plan!$K$5,'Calc Smart'!H79,'Calc Avalanche'!H79,'Calc Snowball'!H79,'Calc Cashflow'!H79)</f>
        <v/>
      </c>
      <c r="L73" s="67">
        <f>CHOOSE(Plan!$K$5,'Calc Smart'!I79,'Calc Avalanche'!I79,'Calc Snowball'!I79,'Calc Cashflow'!I79)</f>
        <v/>
      </c>
      <c r="M73" s="67">
        <f>CHOOSE(Plan!$K$5,'Calc Smart'!J79,'Calc Avalanche'!J79,'Calc Snowball'!J79,'Calc Cashflow'!J79)</f>
        <v/>
      </c>
      <c r="N73" s="67">
        <f>CHOOSE(Plan!$K$5,'Calc Smart'!K79,'Calc Avalanche'!K79,'Calc Snowball'!K79,'Calc Cashflow'!K79)</f>
        <v/>
      </c>
      <c r="O73" s="67">
        <f>CHOOSE(Plan!$K$5,'Calc Smart'!L79,'Calc Avalanche'!L79,'Calc Snowball'!L79,'Calc Cashflow'!L79)</f>
        <v/>
      </c>
      <c r="P73" s="67">
        <f>CHOOSE(Plan!$K$5,'Calc Smart'!M79,'Calc Avalanche'!M79,'Calc Snowball'!M79,'Calc Cashflow'!M79)</f>
        <v/>
      </c>
      <c r="Q73" s="67">
        <f>CHOOSE(Plan!$K$5,'Calc Smart'!N79,'Calc Avalanche'!N79,'Calc Snowball'!N79,'Calc Cashflow'!N79)</f>
        <v/>
      </c>
    </row>
    <row r="74">
      <c r="B74" s="64">
        <f>EDATE(Plan!$C$6,68)</f>
        <v/>
      </c>
      <c r="C74" s="31">
        <f>CHOOSE(Plan!$K$5,'Calc Smart'!AE80,'Calc Avalanche'!AE80,'Calc Snowball'!AE80,'Calc Cashflow'!AE80)</f>
        <v/>
      </c>
      <c r="D74" s="31">
        <f>CHOOSE(Plan!$K$5,'Calc Smart'!AD80,'Calc Avalanche'!AD80,'Calc Snowball'!AD80,'Calc Cashflow'!AD80)</f>
        <v/>
      </c>
      <c r="E74" s="40">
        <f>CHOOSE(Plan!$K$5,COUNTIF('Calc Smart'!C80:N80,"&gt;0"),COUNTIF('Calc Avalanche'!C80:N80,"&gt;0"),COUNTIF('Calc Snowball'!C80:N80,"&gt;0"),COUNTIF('Calc Cashflow'!C80:N80,"&gt;0"))</f>
        <v/>
      </c>
      <c r="F74" s="65">
        <f>CHOOSE(Plan!$K$5,'Calc Smart'!C80,'Calc Avalanche'!C80,'Calc Snowball'!C80,'Calc Cashflow'!C80)</f>
        <v/>
      </c>
      <c r="G74" s="65">
        <f>CHOOSE(Plan!$K$5,'Calc Smart'!D80,'Calc Avalanche'!D80,'Calc Snowball'!D80,'Calc Cashflow'!D80)</f>
        <v/>
      </c>
      <c r="H74" s="65">
        <f>CHOOSE(Plan!$K$5,'Calc Smart'!E80,'Calc Avalanche'!E80,'Calc Snowball'!E80,'Calc Cashflow'!E80)</f>
        <v/>
      </c>
      <c r="I74" s="65">
        <f>CHOOSE(Plan!$K$5,'Calc Smart'!F80,'Calc Avalanche'!F80,'Calc Snowball'!F80,'Calc Cashflow'!F80)</f>
        <v/>
      </c>
      <c r="J74" s="65">
        <f>CHOOSE(Plan!$K$5,'Calc Smart'!G80,'Calc Avalanche'!G80,'Calc Snowball'!G80,'Calc Cashflow'!G80)</f>
        <v/>
      </c>
      <c r="K74" s="65">
        <f>CHOOSE(Plan!$K$5,'Calc Smart'!H80,'Calc Avalanche'!H80,'Calc Snowball'!H80,'Calc Cashflow'!H80)</f>
        <v/>
      </c>
      <c r="L74" s="65">
        <f>CHOOSE(Plan!$K$5,'Calc Smart'!I80,'Calc Avalanche'!I80,'Calc Snowball'!I80,'Calc Cashflow'!I80)</f>
        <v/>
      </c>
      <c r="M74" s="65">
        <f>CHOOSE(Plan!$K$5,'Calc Smart'!J80,'Calc Avalanche'!J80,'Calc Snowball'!J80,'Calc Cashflow'!J80)</f>
        <v/>
      </c>
      <c r="N74" s="65">
        <f>CHOOSE(Plan!$K$5,'Calc Smart'!K80,'Calc Avalanche'!K80,'Calc Snowball'!K80,'Calc Cashflow'!K80)</f>
        <v/>
      </c>
      <c r="O74" s="65">
        <f>CHOOSE(Plan!$K$5,'Calc Smart'!L80,'Calc Avalanche'!L80,'Calc Snowball'!L80,'Calc Cashflow'!L80)</f>
        <v/>
      </c>
      <c r="P74" s="65">
        <f>CHOOSE(Plan!$K$5,'Calc Smart'!M80,'Calc Avalanche'!M80,'Calc Snowball'!M80,'Calc Cashflow'!M80)</f>
        <v/>
      </c>
      <c r="Q74" s="65">
        <f>CHOOSE(Plan!$K$5,'Calc Smart'!N80,'Calc Avalanche'!N80,'Calc Snowball'!N80,'Calc Cashflow'!N80)</f>
        <v/>
      </c>
    </row>
    <row r="75">
      <c r="B75" s="66">
        <f>EDATE(Plan!$C$6,69)</f>
        <v/>
      </c>
      <c r="C75" s="32">
        <f>CHOOSE(Plan!$K$5,'Calc Smart'!AE81,'Calc Avalanche'!AE81,'Calc Snowball'!AE81,'Calc Cashflow'!AE81)</f>
        <v/>
      </c>
      <c r="D75" s="32">
        <f>CHOOSE(Plan!$K$5,'Calc Smart'!AD81,'Calc Avalanche'!AD81,'Calc Snowball'!AD81,'Calc Cashflow'!AD81)</f>
        <v/>
      </c>
      <c r="E75" s="43">
        <f>CHOOSE(Plan!$K$5,COUNTIF('Calc Smart'!C81:N81,"&gt;0"),COUNTIF('Calc Avalanche'!C81:N81,"&gt;0"),COUNTIF('Calc Snowball'!C81:N81,"&gt;0"),COUNTIF('Calc Cashflow'!C81:N81,"&gt;0"))</f>
        <v/>
      </c>
      <c r="F75" s="67">
        <f>CHOOSE(Plan!$K$5,'Calc Smart'!C81,'Calc Avalanche'!C81,'Calc Snowball'!C81,'Calc Cashflow'!C81)</f>
        <v/>
      </c>
      <c r="G75" s="67">
        <f>CHOOSE(Plan!$K$5,'Calc Smart'!D81,'Calc Avalanche'!D81,'Calc Snowball'!D81,'Calc Cashflow'!D81)</f>
        <v/>
      </c>
      <c r="H75" s="67">
        <f>CHOOSE(Plan!$K$5,'Calc Smart'!E81,'Calc Avalanche'!E81,'Calc Snowball'!E81,'Calc Cashflow'!E81)</f>
        <v/>
      </c>
      <c r="I75" s="67">
        <f>CHOOSE(Plan!$K$5,'Calc Smart'!F81,'Calc Avalanche'!F81,'Calc Snowball'!F81,'Calc Cashflow'!F81)</f>
        <v/>
      </c>
      <c r="J75" s="67">
        <f>CHOOSE(Plan!$K$5,'Calc Smart'!G81,'Calc Avalanche'!G81,'Calc Snowball'!G81,'Calc Cashflow'!G81)</f>
        <v/>
      </c>
      <c r="K75" s="67">
        <f>CHOOSE(Plan!$K$5,'Calc Smart'!H81,'Calc Avalanche'!H81,'Calc Snowball'!H81,'Calc Cashflow'!H81)</f>
        <v/>
      </c>
      <c r="L75" s="67">
        <f>CHOOSE(Plan!$K$5,'Calc Smart'!I81,'Calc Avalanche'!I81,'Calc Snowball'!I81,'Calc Cashflow'!I81)</f>
        <v/>
      </c>
      <c r="M75" s="67">
        <f>CHOOSE(Plan!$K$5,'Calc Smart'!J81,'Calc Avalanche'!J81,'Calc Snowball'!J81,'Calc Cashflow'!J81)</f>
        <v/>
      </c>
      <c r="N75" s="67">
        <f>CHOOSE(Plan!$K$5,'Calc Smart'!K81,'Calc Avalanche'!K81,'Calc Snowball'!K81,'Calc Cashflow'!K81)</f>
        <v/>
      </c>
      <c r="O75" s="67">
        <f>CHOOSE(Plan!$K$5,'Calc Smart'!L81,'Calc Avalanche'!L81,'Calc Snowball'!L81,'Calc Cashflow'!L81)</f>
        <v/>
      </c>
      <c r="P75" s="67">
        <f>CHOOSE(Plan!$K$5,'Calc Smart'!M81,'Calc Avalanche'!M81,'Calc Snowball'!M81,'Calc Cashflow'!M81)</f>
        <v/>
      </c>
      <c r="Q75" s="67">
        <f>CHOOSE(Plan!$K$5,'Calc Smart'!N81,'Calc Avalanche'!N81,'Calc Snowball'!N81,'Calc Cashflow'!N81)</f>
        <v/>
      </c>
    </row>
    <row r="76">
      <c r="B76" s="64">
        <f>EDATE(Plan!$C$6,70)</f>
        <v/>
      </c>
      <c r="C76" s="31">
        <f>CHOOSE(Plan!$K$5,'Calc Smart'!AE82,'Calc Avalanche'!AE82,'Calc Snowball'!AE82,'Calc Cashflow'!AE82)</f>
        <v/>
      </c>
      <c r="D76" s="31">
        <f>CHOOSE(Plan!$K$5,'Calc Smart'!AD82,'Calc Avalanche'!AD82,'Calc Snowball'!AD82,'Calc Cashflow'!AD82)</f>
        <v/>
      </c>
      <c r="E76" s="40">
        <f>CHOOSE(Plan!$K$5,COUNTIF('Calc Smart'!C82:N82,"&gt;0"),COUNTIF('Calc Avalanche'!C82:N82,"&gt;0"),COUNTIF('Calc Snowball'!C82:N82,"&gt;0"),COUNTIF('Calc Cashflow'!C82:N82,"&gt;0"))</f>
        <v/>
      </c>
      <c r="F76" s="65">
        <f>CHOOSE(Plan!$K$5,'Calc Smart'!C82,'Calc Avalanche'!C82,'Calc Snowball'!C82,'Calc Cashflow'!C82)</f>
        <v/>
      </c>
      <c r="G76" s="65">
        <f>CHOOSE(Plan!$K$5,'Calc Smart'!D82,'Calc Avalanche'!D82,'Calc Snowball'!D82,'Calc Cashflow'!D82)</f>
        <v/>
      </c>
      <c r="H76" s="65">
        <f>CHOOSE(Plan!$K$5,'Calc Smart'!E82,'Calc Avalanche'!E82,'Calc Snowball'!E82,'Calc Cashflow'!E82)</f>
        <v/>
      </c>
      <c r="I76" s="65">
        <f>CHOOSE(Plan!$K$5,'Calc Smart'!F82,'Calc Avalanche'!F82,'Calc Snowball'!F82,'Calc Cashflow'!F82)</f>
        <v/>
      </c>
      <c r="J76" s="65">
        <f>CHOOSE(Plan!$K$5,'Calc Smart'!G82,'Calc Avalanche'!G82,'Calc Snowball'!G82,'Calc Cashflow'!G82)</f>
        <v/>
      </c>
      <c r="K76" s="65">
        <f>CHOOSE(Plan!$K$5,'Calc Smart'!H82,'Calc Avalanche'!H82,'Calc Snowball'!H82,'Calc Cashflow'!H82)</f>
        <v/>
      </c>
      <c r="L76" s="65">
        <f>CHOOSE(Plan!$K$5,'Calc Smart'!I82,'Calc Avalanche'!I82,'Calc Snowball'!I82,'Calc Cashflow'!I82)</f>
        <v/>
      </c>
      <c r="M76" s="65">
        <f>CHOOSE(Plan!$K$5,'Calc Smart'!J82,'Calc Avalanche'!J82,'Calc Snowball'!J82,'Calc Cashflow'!J82)</f>
        <v/>
      </c>
      <c r="N76" s="65">
        <f>CHOOSE(Plan!$K$5,'Calc Smart'!K82,'Calc Avalanche'!K82,'Calc Snowball'!K82,'Calc Cashflow'!K82)</f>
        <v/>
      </c>
      <c r="O76" s="65">
        <f>CHOOSE(Plan!$K$5,'Calc Smart'!L82,'Calc Avalanche'!L82,'Calc Snowball'!L82,'Calc Cashflow'!L82)</f>
        <v/>
      </c>
      <c r="P76" s="65">
        <f>CHOOSE(Plan!$K$5,'Calc Smart'!M82,'Calc Avalanche'!M82,'Calc Snowball'!M82,'Calc Cashflow'!M82)</f>
        <v/>
      </c>
      <c r="Q76" s="65">
        <f>CHOOSE(Plan!$K$5,'Calc Smart'!N82,'Calc Avalanche'!N82,'Calc Snowball'!N82,'Calc Cashflow'!N82)</f>
        <v/>
      </c>
    </row>
    <row r="77">
      <c r="B77" s="66">
        <f>EDATE(Plan!$C$6,71)</f>
        <v/>
      </c>
      <c r="C77" s="32">
        <f>CHOOSE(Plan!$K$5,'Calc Smart'!AE83,'Calc Avalanche'!AE83,'Calc Snowball'!AE83,'Calc Cashflow'!AE83)</f>
        <v/>
      </c>
      <c r="D77" s="32">
        <f>CHOOSE(Plan!$K$5,'Calc Smart'!AD83,'Calc Avalanche'!AD83,'Calc Snowball'!AD83,'Calc Cashflow'!AD83)</f>
        <v/>
      </c>
      <c r="E77" s="43">
        <f>CHOOSE(Plan!$K$5,COUNTIF('Calc Smart'!C83:N83,"&gt;0"),COUNTIF('Calc Avalanche'!C83:N83,"&gt;0"),COUNTIF('Calc Snowball'!C83:N83,"&gt;0"),COUNTIF('Calc Cashflow'!C83:N83,"&gt;0"))</f>
        <v/>
      </c>
      <c r="F77" s="67">
        <f>CHOOSE(Plan!$K$5,'Calc Smart'!C83,'Calc Avalanche'!C83,'Calc Snowball'!C83,'Calc Cashflow'!C83)</f>
        <v/>
      </c>
      <c r="G77" s="67">
        <f>CHOOSE(Plan!$K$5,'Calc Smart'!D83,'Calc Avalanche'!D83,'Calc Snowball'!D83,'Calc Cashflow'!D83)</f>
        <v/>
      </c>
      <c r="H77" s="67">
        <f>CHOOSE(Plan!$K$5,'Calc Smart'!E83,'Calc Avalanche'!E83,'Calc Snowball'!E83,'Calc Cashflow'!E83)</f>
        <v/>
      </c>
      <c r="I77" s="67">
        <f>CHOOSE(Plan!$K$5,'Calc Smart'!F83,'Calc Avalanche'!F83,'Calc Snowball'!F83,'Calc Cashflow'!F83)</f>
        <v/>
      </c>
      <c r="J77" s="67">
        <f>CHOOSE(Plan!$K$5,'Calc Smart'!G83,'Calc Avalanche'!G83,'Calc Snowball'!G83,'Calc Cashflow'!G83)</f>
        <v/>
      </c>
      <c r="K77" s="67">
        <f>CHOOSE(Plan!$K$5,'Calc Smart'!H83,'Calc Avalanche'!H83,'Calc Snowball'!H83,'Calc Cashflow'!H83)</f>
        <v/>
      </c>
      <c r="L77" s="67">
        <f>CHOOSE(Plan!$K$5,'Calc Smart'!I83,'Calc Avalanche'!I83,'Calc Snowball'!I83,'Calc Cashflow'!I83)</f>
        <v/>
      </c>
      <c r="M77" s="67">
        <f>CHOOSE(Plan!$K$5,'Calc Smart'!J83,'Calc Avalanche'!J83,'Calc Snowball'!J83,'Calc Cashflow'!J83)</f>
        <v/>
      </c>
      <c r="N77" s="67">
        <f>CHOOSE(Plan!$K$5,'Calc Smart'!K83,'Calc Avalanche'!K83,'Calc Snowball'!K83,'Calc Cashflow'!K83)</f>
        <v/>
      </c>
      <c r="O77" s="67">
        <f>CHOOSE(Plan!$K$5,'Calc Smart'!L83,'Calc Avalanche'!L83,'Calc Snowball'!L83,'Calc Cashflow'!L83)</f>
        <v/>
      </c>
      <c r="P77" s="67">
        <f>CHOOSE(Plan!$K$5,'Calc Smart'!M83,'Calc Avalanche'!M83,'Calc Snowball'!M83,'Calc Cashflow'!M83)</f>
        <v/>
      </c>
      <c r="Q77" s="67">
        <f>CHOOSE(Plan!$K$5,'Calc Smart'!N83,'Calc Avalanche'!N83,'Calc Snowball'!N83,'Calc Cashflow'!N83)</f>
        <v/>
      </c>
    </row>
    <row r="78">
      <c r="B78" s="64">
        <f>EDATE(Plan!$C$6,72)</f>
        <v/>
      </c>
      <c r="C78" s="31">
        <f>CHOOSE(Plan!$K$5,'Calc Smart'!AE84,'Calc Avalanche'!AE84,'Calc Snowball'!AE84,'Calc Cashflow'!AE84)</f>
        <v/>
      </c>
      <c r="D78" s="31">
        <f>CHOOSE(Plan!$K$5,'Calc Smart'!AD84,'Calc Avalanche'!AD84,'Calc Snowball'!AD84,'Calc Cashflow'!AD84)</f>
        <v/>
      </c>
      <c r="E78" s="40">
        <f>CHOOSE(Plan!$K$5,COUNTIF('Calc Smart'!C84:N84,"&gt;0"),COUNTIF('Calc Avalanche'!C84:N84,"&gt;0"),COUNTIF('Calc Snowball'!C84:N84,"&gt;0"),COUNTIF('Calc Cashflow'!C84:N84,"&gt;0"))</f>
        <v/>
      </c>
      <c r="F78" s="65">
        <f>CHOOSE(Plan!$K$5,'Calc Smart'!C84,'Calc Avalanche'!C84,'Calc Snowball'!C84,'Calc Cashflow'!C84)</f>
        <v/>
      </c>
      <c r="G78" s="65">
        <f>CHOOSE(Plan!$K$5,'Calc Smart'!D84,'Calc Avalanche'!D84,'Calc Snowball'!D84,'Calc Cashflow'!D84)</f>
        <v/>
      </c>
      <c r="H78" s="65">
        <f>CHOOSE(Plan!$K$5,'Calc Smart'!E84,'Calc Avalanche'!E84,'Calc Snowball'!E84,'Calc Cashflow'!E84)</f>
        <v/>
      </c>
      <c r="I78" s="65">
        <f>CHOOSE(Plan!$K$5,'Calc Smart'!F84,'Calc Avalanche'!F84,'Calc Snowball'!F84,'Calc Cashflow'!F84)</f>
        <v/>
      </c>
      <c r="J78" s="65">
        <f>CHOOSE(Plan!$K$5,'Calc Smart'!G84,'Calc Avalanche'!G84,'Calc Snowball'!G84,'Calc Cashflow'!G84)</f>
        <v/>
      </c>
      <c r="K78" s="65">
        <f>CHOOSE(Plan!$K$5,'Calc Smart'!H84,'Calc Avalanche'!H84,'Calc Snowball'!H84,'Calc Cashflow'!H84)</f>
        <v/>
      </c>
      <c r="L78" s="65">
        <f>CHOOSE(Plan!$K$5,'Calc Smart'!I84,'Calc Avalanche'!I84,'Calc Snowball'!I84,'Calc Cashflow'!I84)</f>
        <v/>
      </c>
      <c r="M78" s="65">
        <f>CHOOSE(Plan!$K$5,'Calc Smart'!J84,'Calc Avalanche'!J84,'Calc Snowball'!J84,'Calc Cashflow'!J84)</f>
        <v/>
      </c>
      <c r="N78" s="65">
        <f>CHOOSE(Plan!$K$5,'Calc Smart'!K84,'Calc Avalanche'!K84,'Calc Snowball'!K84,'Calc Cashflow'!K84)</f>
        <v/>
      </c>
      <c r="O78" s="65">
        <f>CHOOSE(Plan!$K$5,'Calc Smart'!L84,'Calc Avalanche'!L84,'Calc Snowball'!L84,'Calc Cashflow'!L84)</f>
        <v/>
      </c>
      <c r="P78" s="65">
        <f>CHOOSE(Plan!$K$5,'Calc Smart'!M84,'Calc Avalanche'!M84,'Calc Snowball'!M84,'Calc Cashflow'!M84)</f>
        <v/>
      </c>
      <c r="Q78" s="65">
        <f>CHOOSE(Plan!$K$5,'Calc Smart'!N84,'Calc Avalanche'!N84,'Calc Snowball'!N84,'Calc Cashflow'!N84)</f>
        <v/>
      </c>
    </row>
    <row r="79">
      <c r="B79" s="66">
        <f>EDATE(Plan!$C$6,73)</f>
        <v/>
      </c>
      <c r="C79" s="32">
        <f>CHOOSE(Plan!$K$5,'Calc Smart'!AE85,'Calc Avalanche'!AE85,'Calc Snowball'!AE85,'Calc Cashflow'!AE85)</f>
        <v/>
      </c>
      <c r="D79" s="32">
        <f>CHOOSE(Plan!$K$5,'Calc Smart'!AD85,'Calc Avalanche'!AD85,'Calc Snowball'!AD85,'Calc Cashflow'!AD85)</f>
        <v/>
      </c>
      <c r="E79" s="43">
        <f>CHOOSE(Plan!$K$5,COUNTIF('Calc Smart'!C85:N85,"&gt;0"),COUNTIF('Calc Avalanche'!C85:N85,"&gt;0"),COUNTIF('Calc Snowball'!C85:N85,"&gt;0"),COUNTIF('Calc Cashflow'!C85:N85,"&gt;0"))</f>
        <v/>
      </c>
      <c r="F79" s="67">
        <f>CHOOSE(Plan!$K$5,'Calc Smart'!C85,'Calc Avalanche'!C85,'Calc Snowball'!C85,'Calc Cashflow'!C85)</f>
        <v/>
      </c>
      <c r="G79" s="67">
        <f>CHOOSE(Plan!$K$5,'Calc Smart'!D85,'Calc Avalanche'!D85,'Calc Snowball'!D85,'Calc Cashflow'!D85)</f>
        <v/>
      </c>
      <c r="H79" s="67">
        <f>CHOOSE(Plan!$K$5,'Calc Smart'!E85,'Calc Avalanche'!E85,'Calc Snowball'!E85,'Calc Cashflow'!E85)</f>
        <v/>
      </c>
      <c r="I79" s="67">
        <f>CHOOSE(Plan!$K$5,'Calc Smart'!F85,'Calc Avalanche'!F85,'Calc Snowball'!F85,'Calc Cashflow'!F85)</f>
        <v/>
      </c>
      <c r="J79" s="67">
        <f>CHOOSE(Plan!$K$5,'Calc Smart'!G85,'Calc Avalanche'!G85,'Calc Snowball'!G85,'Calc Cashflow'!G85)</f>
        <v/>
      </c>
      <c r="K79" s="67">
        <f>CHOOSE(Plan!$K$5,'Calc Smart'!H85,'Calc Avalanche'!H85,'Calc Snowball'!H85,'Calc Cashflow'!H85)</f>
        <v/>
      </c>
      <c r="L79" s="67">
        <f>CHOOSE(Plan!$K$5,'Calc Smart'!I85,'Calc Avalanche'!I85,'Calc Snowball'!I85,'Calc Cashflow'!I85)</f>
        <v/>
      </c>
      <c r="M79" s="67">
        <f>CHOOSE(Plan!$K$5,'Calc Smart'!J85,'Calc Avalanche'!J85,'Calc Snowball'!J85,'Calc Cashflow'!J85)</f>
        <v/>
      </c>
      <c r="N79" s="67">
        <f>CHOOSE(Plan!$K$5,'Calc Smart'!K85,'Calc Avalanche'!K85,'Calc Snowball'!K85,'Calc Cashflow'!K85)</f>
        <v/>
      </c>
      <c r="O79" s="67">
        <f>CHOOSE(Plan!$K$5,'Calc Smart'!L85,'Calc Avalanche'!L85,'Calc Snowball'!L85,'Calc Cashflow'!L85)</f>
        <v/>
      </c>
      <c r="P79" s="67">
        <f>CHOOSE(Plan!$K$5,'Calc Smart'!M85,'Calc Avalanche'!M85,'Calc Snowball'!M85,'Calc Cashflow'!M85)</f>
        <v/>
      </c>
      <c r="Q79" s="67">
        <f>CHOOSE(Plan!$K$5,'Calc Smart'!N85,'Calc Avalanche'!N85,'Calc Snowball'!N85,'Calc Cashflow'!N85)</f>
        <v/>
      </c>
    </row>
    <row r="80">
      <c r="B80" s="64">
        <f>EDATE(Plan!$C$6,74)</f>
        <v/>
      </c>
      <c r="C80" s="31">
        <f>CHOOSE(Plan!$K$5,'Calc Smart'!AE86,'Calc Avalanche'!AE86,'Calc Snowball'!AE86,'Calc Cashflow'!AE86)</f>
        <v/>
      </c>
      <c r="D80" s="31">
        <f>CHOOSE(Plan!$K$5,'Calc Smart'!AD86,'Calc Avalanche'!AD86,'Calc Snowball'!AD86,'Calc Cashflow'!AD86)</f>
        <v/>
      </c>
      <c r="E80" s="40">
        <f>CHOOSE(Plan!$K$5,COUNTIF('Calc Smart'!C86:N86,"&gt;0"),COUNTIF('Calc Avalanche'!C86:N86,"&gt;0"),COUNTIF('Calc Snowball'!C86:N86,"&gt;0"),COUNTIF('Calc Cashflow'!C86:N86,"&gt;0"))</f>
        <v/>
      </c>
      <c r="F80" s="65">
        <f>CHOOSE(Plan!$K$5,'Calc Smart'!C86,'Calc Avalanche'!C86,'Calc Snowball'!C86,'Calc Cashflow'!C86)</f>
        <v/>
      </c>
      <c r="G80" s="65">
        <f>CHOOSE(Plan!$K$5,'Calc Smart'!D86,'Calc Avalanche'!D86,'Calc Snowball'!D86,'Calc Cashflow'!D86)</f>
        <v/>
      </c>
      <c r="H80" s="65">
        <f>CHOOSE(Plan!$K$5,'Calc Smart'!E86,'Calc Avalanche'!E86,'Calc Snowball'!E86,'Calc Cashflow'!E86)</f>
        <v/>
      </c>
      <c r="I80" s="65">
        <f>CHOOSE(Plan!$K$5,'Calc Smart'!F86,'Calc Avalanche'!F86,'Calc Snowball'!F86,'Calc Cashflow'!F86)</f>
        <v/>
      </c>
      <c r="J80" s="65">
        <f>CHOOSE(Plan!$K$5,'Calc Smart'!G86,'Calc Avalanche'!G86,'Calc Snowball'!G86,'Calc Cashflow'!G86)</f>
        <v/>
      </c>
      <c r="K80" s="65">
        <f>CHOOSE(Plan!$K$5,'Calc Smart'!H86,'Calc Avalanche'!H86,'Calc Snowball'!H86,'Calc Cashflow'!H86)</f>
        <v/>
      </c>
      <c r="L80" s="65">
        <f>CHOOSE(Plan!$K$5,'Calc Smart'!I86,'Calc Avalanche'!I86,'Calc Snowball'!I86,'Calc Cashflow'!I86)</f>
        <v/>
      </c>
      <c r="M80" s="65">
        <f>CHOOSE(Plan!$K$5,'Calc Smart'!J86,'Calc Avalanche'!J86,'Calc Snowball'!J86,'Calc Cashflow'!J86)</f>
        <v/>
      </c>
      <c r="N80" s="65">
        <f>CHOOSE(Plan!$K$5,'Calc Smart'!K86,'Calc Avalanche'!K86,'Calc Snowball'!K86,'Calc Cashflow'!K86)</f>
        <v/>
      </c>
      <c r="O80" s="65">
        <f>CHOOSE(Plan!$K$5,'Calc Smart'!L86,'Calc Avalanche'!L86,'Calc Snowball'!L86,'Calc Cashflow'!L86)</f>
        <v/>
      </c>
      <c r="P80" s="65">
        <f>CHOOSE(Plan!$K$5,'Calc Smart'!M86,'Calc Avalanche'!M86,'Calc Snowball'!M86,'Calc Cashflow'!M86)</f>
        <v/>
      </c>
      <c r="Q80" s="65">
        <f>CHOOSE(Plan!$K$5,'Calc Smart'!N86,'Calc Avalanche'!N86,'Calc Snowball'!N86,'Calc Cashflow'!N86)</f>
        <v/>
      </c>
    </row>
    <row r="81">
      <c r="B81" s="66">
        <f>EDATE(Plan!$C$6,75)</f>
        <v/>
      </c>
      <c r="C81" s="32">
        <f>CHOOSE(Plan!$K$5,'Calc Smart'!AE87,'Calc Avalanche'!AE87,'Calc Snowball'!AE87,'Calc Cashflow'!AE87)</f>
        <v/>
      </c>
      <c r="D81" s="32">
        <f>CHOOSE(Plan!$K$5,'Calc Smart'!AD87,'Calc Avalanche'!AD87,'Calc Snowball'!AD87,'Calc Cashflow'!AD87)</f>
        <v/>
      </c>
      <c r="E81" s="43">
        <f>CHOOSE(Plan!$K$5,COUNTIF('Calc Smart'!C87:N87,"&gt;0"),COUNTIF('Calc Avalanche'!C87:N87,"&gt;0"),COUNTIF('Calc Snowball'!C87:N87,"&gt;0"),COUNTIF('Calc Cashflow'!C87:N87,"&gt;0"))</f>
        <v/>
      </c>
      <c r="F81" s="67">
        <f>CHOOSE(Plan!$K$5,'Calc Smart'!C87,'Calc Avalanche'!C87,'Calc Snowball'!C87,'Calc Cashflow'!C87)</f>
        <v/>
      </c>
      <c r="G81" s="67">
        <f>CHOOSE(Plan!$K$5,'Calc Smart'!D87,'Calc Avalanche'!D87,'Calc Snowball'!D87,'Calc Cashflow'!D87)</f>
        <v/>
      </c>
      <c r="H81" s="67">
        <f>CHOOSE(Plan!$K$5,'Calc Smart'!E87,'Calc Avalanche'!E87,'Calc Snowball'!E87,'Calc Cashflow'!E87)</f>
        <v/>
      </c>
      <c r="I81" s="67">
        <f>CHOOSE(Plan!$K$5,'Calc Smart'!F87,'Calc Avalanche'!F87,'Calc Snowball'!F87,'Calc Cashflow'!F87)</f>
        <v/>
      </c>
      <c r="J81" s="67">
        <f>CHOOSE(Plan!$K$5,'Calc Smart'!G87,'Calc Avalanche'!G87,'Calc Snowball'!G87,'Calc Cashflow'!G87)</f>
        <v/>
      </c>
      <c r="K81" s="67">
        <f>CHOOSE(Plan!$K$5,'Calc Smart'!H87,'Calc Avalanche'!H87,'Calc Snowball'!H87,'Calc Cashflow'!H87)</f>
        <v/>
      </c>
      <c r="L81" s="67">
        <f>CHOOSE(Plan!$K$5,'Calc Smart'!I87,'Calc Avalanche'!I87,'Calc Snowball'!I87,'Calc Cashflow'!I87)</f>
        <v/>
      </c>
      <c r="M81" s="67">
        <f>CHOOSE(Plan!$K$5,'Calc Smart'!J87,'Calc Avalanche'!J87,'Calc Snowball'!J87,'Calc Cashflow'!J87)</f>
        <v/>
      </c>
      <c r="N81" s="67">
        <f>CHOOSE(Plan!$K$5,'Calc Smart'!K87,'Calc Avalanche'!K87,'Calc Snowball'!K87,'Calc Cashflow'!K87)</f>
        <v/>
      </c>
      <c r="O81" s="67">
        <f>CHOOSE(Plan!$K$5,'Calc Smart'!L87,'Calc Avalanche'!L87,'Calc Snowball'!L87,'Calc Cashflow'!L87)</f>
        <v/>
      </c>
      <c r="P81" s="67">
        <f>CHOOSE(Plan!$K$5,'Calc Smart'!M87,'Calc Avalanche'!M87,'Calc Snowball'!M87,'Calc Cashflow'!M87)</f>
        <v/>
      </c>
      <c r="Q81" s="67">
        <f>CHOOSE(Plan!$K$5,'Calc Smart'!N87,'Calc Avalanche'!N87,'Calc Snowball'!N87,'Calc Cashflow'!N87)</f>
        <v/>
      </c>
    </row>
    <row r="82">
      <c r="B82" s="64">
        <f>EDATE(Plan!$C$6,76)</f>
        <v/>
      </c>
      <c r="C82" s="31">
        <f>CHOOSE(Plan!$K$5,'Calc Smart'!AE88,'Calc Avalanche'!AE88,'Calc Snowball'!AE88,'Calc Cashflow'!AE88)</f>
        <v/>
      </c>
      <c r="D82" s="31">
        <f>CHOOSE(Plan!$K$5,'Calc Smart'!AD88,'Calc Avalanche'!AD88,'Calc Snowball'!AD88,'Calc Cashflow'!AD88)</f>
        <v/>
      </c>
      <c r="E82" s="40">
        <f>CHOOSE(Plan!$K$5,COUNTIF('Calc Smart'!C88:N88,"&gt;0"),COUNTIF('Calc Avalanche'!C88:N88,"&gt;0"),COUNTIF('Calc Snowball'!C88:N88,"&gt;0"),COUNTIF('Calc Cashflow'!C88:N88,"&gt;0"))</f>
        <v/>
      </c>
      <c r="F82" s="65">
        <f>CHOOSE(Plan!$K$5,'Calc Smart'!C88,'Calc Avalanche'!C88,'Calc Snowball'!C88,'Calc Cashflow'!C88)</f>
        <v/>
      </c>
      <c r="G82" s="65">
        <f>CHOOSE(Plan!$K$5,'Calc Smart'!D88,'Calc Avalanche'!D88,'Calc Snowball'!D88,'Calc Cashflow'!D88)</f>
        <v/>
      </c>
      <c r="H82" s="65">
        <f>CHOOSE(Plan!$K$5,'Calc Smart'!E88,'Calc Avalanche'!E88,'Calc Snowball'!E88,'Calc Cashflow'!E88)</f>
        <v/>
      </c>
      <c r="I82" s="65">
        <f>CHOOSE(Plan!$K$5,'Calc Smart'!F88,'Calc Avalanche'!F88,'Calc Snowball'!F88,'Calc Cashflow'!F88)</f>
        <v/>
      </c>
      <c r="J82" s="65">
        <f>CHOOSE(Plan!$K$5,'Calc Smart'!G88,'Calc Avalanche'!G88,'Calc Snowball'!G88,'Calc Cashflow'!G88)</f>
        <v/>
      </c>
      <c r="K82" s="65">
        <f>CHOOSE(Plan!$K$5,'Calc Smart'!H88,'Calc Avalanche'!H88,'Calc Snowball'!H88,'Calc Cashflow'!H88)</f>
        <v/>
      </c>
      <c r="L82" s="65">
        <f>CHOOSE(Plan!$K$5,'Calc Smart'!I88,'Calc Avalanche'!I88,'Calc Snowball'!I88,'Calc Cashflow'!I88)</f>
        <v/>
      </c>
      <c r="M82" s="65">
        <f>CHOOSE(Plan!$K$5,'Calc Smart'!J88,'Calc Avalanche'!J88,'Calc Snowball'!J88,'Calc Cashflow'!J88)</f>
        <v/>
      </c>
      <c r="N82" s="65">
        <f>CHOOSE(Plan!$K$5,'Calc Smart'!K88,'Calc Avalanche'!K88,'Calc Snowball'!K88,'Calc Cashflow'!K88)</f>
        <v/>
      </c>
      <c r="O82" s="65">
        <f>CHOOSE(Plan!$K$5,'Calc Smart'!L88,'Calc Avalanche'!L88,'Calc Snowball'!L88,'Calc Cashflow'!L88)</f>
        <v/>
      </c>
      <c r="P82" s="65">
        <f>CHOOSE(Plan!$K$5,'Calc Smart'!M88,'Calc Avalanche'!M88,'Calc Snowball'!M88,'Calc Cashflow'!M88)</f>
        <v/>
      </c>
      <c r="Q82" s="65">
        <f>CHOOSE(Plan!$K$5,'Calc Smart'!N88,'Calc Avalanche'!N88,'Calc Snowball'!N88,'Calc Cashflow'!N88)</f>
        <v/>
      </c>
    </row>
    <row r="83">
      <c r="B83" s="66">
        <f>EDATE(Plan!$C$6,77)</f>
        <v/>
      </c>
      <c r="C83" s="32">
        <f>CHOOSE(Plan!$K$5,'Calc Smart'!AE89,'Calc Avalanche'!AE89,'Calc Snowball'!AE89,'Calc Cashflow'!AE89)</f>
        <v/>
      </c>
      <c r="D83" s="32">
        <f>CHOOSE(Plan!$K$5,'Calc Smart'!AD89,'Calc Avalanche'!AD89,'Calc Snowball'!AD89,'Calc Cashflow'!AD89)</f>
        <v/>
      </c>
      <c r="E83" s="43">
        <f>CHOOSE(Plan!$K$5,COUNTIF('Calc Smart'!C89:N89,"&gt;0"),COUNTIF('Calc Avalanche'!C89:N89,"&gt;0"),COUNTIF('Calc Snowball'!C89:N89,"&gt;0"),COUNTIF('Calc Cashflow'!C89:N89,"&gt;0"))</f>
        <v/>
      </c>
      <c r="F83" s="67">
        <f>CHOOSE(Plan!$K$5,'Calc Smart'!C89,'Calc Avalanche'!C89,'Calc Snowball'!C89,'Calc Cashflow'!C89)</f>
        <v/>
      </c>
      <c r="G83" s="67">
        <f>CHOOSE(Plan!$K$5,'Calc Smart'!D89,'Calc Avalanche'!D89,'Calc Snowball'!D89,'Calc Cashflow'!D89)</f>
        <v/>
      </c>
      <c r="H83" s="67">
        <f>CHOOSE(Plan!$K$5,'Calc Smart'!E89,'Calc Avalanche'!E89,'Calc Snowball'!E89,'Calc Cashflow'!E89)</f>
        <v/>
      </c>
      <c r="I83" s="67">
        <f>CHOOSE(Plan!$K$5,'Calc Smart'!F89,'Calc Avalanche'!F89,'Calc Snowball'!F89,'Calc Cashflow'!F89)</f>
        <v/>
      </c>
      <c r="J83" s="67">
        <f>CHOOSE(Plan!$K$5,'Calc Smart'!G89,'Calc Avalanche'!G89,'Calc Snowball'!G89,'Calc Cashflow'!G89)</f>
        <v/>
      </c>
      <c r="K83" s="67">
        <f>CHOOSE(Plan!$K$5,'Calc Smart'!H89,'Calc Avalanche'!H89,'Calc Snowball'!H89,'Calc Cashflow'!H89)</f>
        <v/>
      </c>
      <c r="L83" s="67">
        <f>CHOOSE(Plan!$K$5,'Calc Smart'!I89,'Calc Avalanche'!I89,'Calc Snowball'!I89,'Calc Cashflow'!I89)</f>
        <v/>
      </c>
      <c r="M83" s="67">
        <f>CHOOSE(Plan!$K$5,'Calc Smart'!J89,'Calc Avalanche'!J89,'Calc Snowball'!J89,'Calc Cashflow'!J89)</f>
        <v/>
      </c>
      <c r="N83" s="67">
        <f>CHOOSE(Plan!$K$5,'Calc Smart'!K89,'Calc Avalanche'!K89,'Calc Snowball'!K89,'Calc Cashflow'!K89)</f>
        <v/>
      </c>
      <c r="O83" s="67">
        <f>CHOOSE(Plan!$K$5,'Calc Smart'!L89,'Calc Avalanche'!L89,'Calc Snowball'!L89,'Calc Cashflow'!L89)</f>
        <v/>
      </c>
      <c r="P83" s="67">
        <f>CHOOSE(Plan!$K$5,'Calc Smart'!M89,'Calc Avalanche'!M89,'Calc Snowball'!M89,'Calc Cashflow'!M89)</f>
        <v/>
      </c>
      <c r="Q83" s="67">
        <f>CHOOSE(Plan!$K$5,'Calc Smart'!N89,'Calc Avalanche'!N89,'Calc Snowball'!N89,'Calc Cashflow'!N89)</f>
        <v/>
      </c>
    </row>
    <row r="84">
      <c r="B84" s="64">
        <f>EDATE(Plan!$C$6,78)</f>
        <v/>
      </c>
      <c r="C84" s="31">
        <f>CHOOSE(Plan!$K$5,'Calc Smart'!AE90,'Calc Avalanche'!AE90,'Calc Snowball'!AE90,'Calc Cashflow'!AE90)</f>
        <v/>
      </c>
      <c r="D84" s="31">
        <f>CHOOSE(Plan!$K$5,'Calc Smart'!AD90,'Calc Avalanche'!AD90,'Calc Snowball'!AD90,'Calc Cashflow'!AD90)</f>
        <v/>
      </c>
      <c r="E84" s="40">
        <f>CHOOSE(Plan!$K$5,COUNTIF('Calc Smart'!C90:N90,"&gt;0"),COUNTIF('Calc Avalanche'!C90:N90,"&gt;0"),COUNTIF('Calc Snowball'!C90:N90,"&gt;0"),COUNTIF('Calc Cashflow'!C90:N90,"&gt;0"))</f>
        <v/>
      </c>
      <c r="F84" s="65">
        <f>CHOOSE(Plan!$K$5,'Calc Smart'!C90,'Calc Avalanche'!C90,'Calc Snowball'!C90,'Calc Cashflow'!C90)</f>
        <v/>
      </c>
      <c r="G84" s="65">
        <f>CHOOSE(Plan!$K$5,'Calc Smart'!D90,'Calc Avalanche'!D90,'Calc Snowball'!D90,'Calc Cashflow'!D90)</f>
        <v/>
      </c>
      <c r="H84" s="65">
        <f>CHOOSE(Plan!$K$5,'Calc Smart'!E90,'Calc Avalanche'!E90,'Calc Snowball'!E90,'Calc Cashflow'!E90)</f>
        <v/>
      </c>
      <c r="I84" s="65">
        <f>CHOOSE(Plan!$K$5,'Calc Smart'!F90,'Calc Avalanche'!F90,'Calc Snowball'!F90,'Calc Cashflow'!F90)</f>
        <v/>
      </c>
      <c r="J84" s="65">
        <f>CHOOSE(Plan!$K$5,'Calc Smart'!G90,'Calc Avalanche'!G90,'Calc Snowball'!G90,'Calc Cashflow'!G90)</f>
        <v/>
      </c>
      <c r="K84" s="65">
        <f>CHOOSE(Plan!$K$5,'Calc Smart'!H90,'Calc Avalanche'!H90,'Calc Snowball'!H90,'Calc Cashflow'!H90)</f>
        <v/>
      </c>
      <c r="L84" s="65">
        <f>CHOOSE(Plan!$K$5,'Calc Smart'!I90,'Calc Avalanche'!I90,'Calc Snowball'!I90,'Calc Cashflow'!I90)</f>
        <v/>
      </c>
      <c r="M84" s="65">
        <f>CHOOSE(Plan!$K$5,'Calc Smart'!J90,'Calc Avalanche'!J90,'Calc Snowball'!J90,'Calc Cashflow'!J90)</f>
        <v/>
      </c>
      <c r="N84" s="65">
        <f>CHOOSE(Plan!$K$5,'Calc Smart'!K90,'Calc Avalanche'!K90,'Calc Snowball'!K90,'Calc Cashflow'!K90)</f>
        <v/>
      </c>
      <c r="O84" s="65">
        <f>CHOOSE(Plan!$K$5,'Calc Smart'!L90,'Calc Avalanche'!L90,'Calc Snowball'!L90,'Calc Cashflow'!L90)</f>
        <v/>
      </c>
      <c r="P84" s="65">
        <f>CHOOSE(Plan!$K$5,'Calc Smart'!M90,'Calc Avalanche'!M90,'Calc Snowball'!M90,'Calc Cashflow'!M90)</f>
        <v/>
      </c>
      <c r="Q84" s="65">
        <f>CHOOSE(Plan!$K$5,'Calc Smart'!N90,'Calc Avalanche'!N90,'Calc Snowball'!N90,'Calc Cashflow'!N90)</f>
        <v/>
      </c>
    </row>
    <row r="85">
      <c r="B85" s="66">
        <f>EDATE(Plan!$C$6,79)</f>
        <v/>
      </c>
      <c r="C85" s="32">
        <f>CHOOSE(Plan!$K$5,'Calc Smart'!AE91,'Calc Avalanche'!AE91,'Calc Snowball'!AE91,'Calc Cashflow'!AE91)</f>
        <v/>
      </c>
      <c r="D85" s="32">
        <f>CHOOSE(Plan!$K$5,'Calc Smart'!AD91,'Calc Avalanche'!AD91,'Calc Snowball'!AD91,'Calc Cashflow'!AD91)</f>
        <v/>
      </c>
      <c r="E85" s="43">
        <f>CHOOSE(Plan!$K$5,COUNTIF('Calc Smart'!C91:N91,"&gt;0"),COUNTIF('Calc Avalanche'!C91:N91,"&gt;0"),COUNTIF('Calc Snowball'!C91:N91,"&gt;0"),COUNTIF('Calc Cashflow'!C91:N91,"&gt;0"))</f>
        <v/>
      </c>
      <c r="F85" s="67">
        <f>CHOOSE(Plan!$K$5,'Calc Smart'!C91,'Calc Avalanche'!C91,'Calc Snowball'!C91,'Calc Cashflow'!C91)</f>
        <v/>
      </c>
      <c r="G85" s="67">
        <f>CHOOSE(Plan!$K$5,'Calc Smart'!D91,'Calc Avalanche'!D91,'Calc Snowball'!D91,'Calc Cashflow'!D91)</f>
        <v/>
      </c>
      <c r="H85" s="67">
        <f>CHOOSE(Plan!$K$5,'Calc Smart'!E91,'Calc Avalanche'!E91,'Calc Snowball'!E91,'Calc Cashflow'!E91)</f>
        <v/>
      </c>
      <c r="I85" s="67">
        <f>CHOOSE(Plan!$K$5,'Calc Smart'!F91,'Calc Avalanche'!F91,'Calc Snowball'!F91,'Calc Cashflow'!F91)</f>
        <v/>
      </c>
      <c r="J85" s="67">
        <f>CHOOSE(Plan!$K$5,'Calc Smart'!G91,'Calc Avalanche'!G91,'Calc Snowball'!G91,'Calc Cashflow'!G91)</f>
        <v/>
      </c>
      <c r="K85" s="67">
        <f>CHOOSE(Plan!$K$5,'Calc Smart'!H91,'Calc Avalanche'!H91,'Calc Snowball'!H91,'Calc Cashflow'!H91)</f>
        <v/>
      </c>
      <c r="L85" s="67">
        <f>CHOOSE(Plan!$K$5,'Calc Smart'!I91,'Calc Avalanche'!I91,'Calc Snowball'!I91,'Calc Cashflow'!I91)</f>
        <v/>
      </c>
      <c r="M85" s="67">
        <f>CHOOSE(Plan!$K$5,'Calc Smart'!J91,'Calc Avalanche'!J91,'Calc Snowball'!J91,'Calc Cashflow'!J91)</f>
        <v/>
      </c>
      <c r="N85" s="67">
        <f>CHOOSE(Plan!$K$5,'Calc Smart'!K91,'Calc Avalanche'!K91,'Calc Snowball'!K91,'Calc Cashflow'!K91)</f>
        <v/>
      </c>
      <c r="O85" s="67">
        <f>CHOOSE(Plan!$K$5,'Calc Smart'!L91,'Calc Avalanche'!L91,'Calc Snowball'!L91,'Calc Cashflow'!L91)</f>
        <v/>
      </c>
      <c r="P85" s="67">
        <f>CHOOSE(Plan!$K$5,'Calc Smart'!M91,'Calc Avalanche'!M91,'Calc Snowball'!M91,'Calc Cashflow'!M91)</f>
        <v/>
      </c>
      <c r="Q85" s="67">
        <f>CHOOSE(Plan!$K$5,'Calc Smart'!N91,'Calc Avalanche'!N91,'Calc Snowball'!N91,'Calc Cashflow'!N91)</f>
        <v/>
      </c>
    </row>
    <row r="86">
      <c r="B86" s="64">
        <f>EDATE(Plan!$C$6,80)</f>
        <v/>
      </c>
      <c r="C86" s="31">
        <f>CHOOSE(Plan!$K$5,'Calc Smart'!AE92,'Calc Avalanche'!AE92,'Calc Snowball'!AE92,'Calc Cashflow'!AE92)</f>
        <v/>
      </c>
      <c r="D86" s="31">
        <f>CHOOSE(Plan!$K$5,'Calc Smart'!AD92,'Calc Avalanche'!AD92,'Calc Snowball'!AD92,'Calc Cashflow'!AD92)</f>
        <v/>
      </c>
      <c r="E86" s="40">
        <f>CHOOSE(Plan!$K$5,COUNTIF('Calc Smart'!C92:N92,"&gt;0"),COUNTIF('Calc Avalanche'!C92:N92,"&gt;0"),COUNTIF('Calc Snowball'!C92:N92,"&gt;0"),COUNTIF('Calc Cashflow'!C92:N92,"&gt;0"))</f>
        <v/>
      </c>
      <c r="F86" s="65">
        <f>CHOOSE(Plan!$K$5,'Calc Smart'!C92,'Calc Avalanche'!C92,'Calc Snowball'!C92,'Calc Cashflow'!C92)</f>
        <v/>
      </c>
      <c r="G86" s="65">
        <f>CHOOSE(Plan!$K$5,'Calc Smart'!D92,'Calc Avalanche'!D92,'Calc Snowball'!D92,'Calc Cashflow'!D92)</f>
        <v/>
      </c>
      <c r="H86" s="65">
        <f>CHOOSE(Plan!$K$5,'Calc Smart'!E92,'Calc Avalanche'!E92,'Calc Snowball'!E92,'Calc Cashflow'!E92)</f>
        <v/>
      </c>
      <c r="I86" s="65">
        <f>CHOOSE(Plan!$K$5,'Calc Smart'!F92,'Calc Avalanche'!F92,'Calc Snowball'!F92,'Calc Cashflow'!F92)</f>
        <v/>
      </c>
      <c r="J86" s="65">
        <f>CHOOSE(Plan!$K$5,'Calc Smart'!G92,'Calc Avalanche'!G92,'Calc Snowball'!G92,'Calc Cashflow'!G92)</f>
        <v/>
      </c>
      <c r="K86" s="65">
        <f>CHOOSE(Plan!$K$5,'Calc Smart'!H92,'Calc Avalanche'!H92,'Calc Snowball'!H92,'Calc Cashflow'!H92)</f>
        <v/>
      </c>
      <c r="L86" s="65">
        <f>CHOOSE(Plan!$K$5,'Calc Smart'!I92,'Calc Avalanche'!I92,'Calc Snowball'!I92,'Calc Cashflow'!I92)</f>
        <v/>
      </c>
      <c r="M86" s="65">
        <f>CHOOSE(Plan!$K$5,'Calc Smart'!J92,'Calc Avalanche'!J92,'Calc Snowball'!J92,'Calc Cashflow'!J92)</f>
        <v/>
      </c>
      <c r="N86" s="65">
        <f>CHOOSE(Plan!$K$5,'Calc Smart'!K92,'Calc Avalanche'!K92,'Calc Snowball'!K92,'Calc Cashflow'!K92)</f>
        <v/>
      </c>
      <c r="O86" s="65">
        <f>CHOOSE(Plan!$K$5,'Calc Smart'!L92,'Calc Avalanche'!L92,'Calc Snowball'!L92,'Calc Cashflow'!L92)</f>
        <v/>
      </c>
      <c r="P86" s="65">
        <f>CHOOSE(Plan!$K$5,'Calc Smart'!M92,'Calc Avalanche'!M92,'Calc Snowball'!M92,'Calc Cashflow'!M92)</f>
        <v/>
      </c>
      <c r="Q86" s="65">
        <f>CHOOSE(Plan!$K$5,'Calc Smart'!N92,'Calc Avalanche'!N92,'Calc Snowball'!N92,'Calc Cashflow'!N92)</f>
        <v/>
      </c>
    </row>
    <row r="87">
      <c r="B87" s="66">
        <f>EDATE(Plan!$C$6,81)</f>
        <v/>
      </c>
      <c r="C87" s="32">
        <f>CHOOSE(Plan!$K$5,'Calc Smart'!AE93,'Calc Avalanche'!AE93,'Calc Snowball'!AE93,'Calc Cashflow'!AE93)</f>
        <v/>
      </c>
      <c r="D87" s="32">
        <f>CHOOSE(Plan!$K$5,'Calc Smart'!AD93,'Calc Avalanche'!AD93,'Calc Snowball'!AD93,'Calc Cashflow'!AD93)</f>
        <v/>
      </c>
      <c r="E87" s="43">
        <f>CHOOSE(Plan!$K$5,COUNTIF('Calc Smart'!C93:N93,"&gt;0"),COUNTIF('Calc Avalanche'!C93:N93,"&gt;0"),COUNTIF('Calc Snowball'!C93:N93,"&gt;0"),COUNTIF('Calc Cashflow'!C93:N93,"&gt;0"))</f>
        <v/>
      </c>
      <c r="F87" s="67">
        <f>CHOOSE(Plan!$K$5,'Calc Smart'!C93,'Calc Avalanche'!C93,'Calc Snowball'!C93,'Calc Cashflow'!C93)</f>
        <v/>
      </c>
      <c r="G87" s="67">
        <f>CHOOSE(Plan!$K$5,'Calc Smart'!D93,'Calc Avalanche'!D93,'Calc Snowball'!D93,'Calc Cashflow'!D93)</f>
        <v/>
      </c>
      <c r="H87" s="67">
        <f>CHOOSE(Plan!$K$5,'Calc Smart'!E93,'Calc Avalanche'!E93,'Calc Snowball'!E93,'Calc Cashflow'!E93)</f>
        <v/>
      </c>
      <c r="I87" s="67">
        <f>CHOOSE(Plan!$K$5,'Calc Smart'!F93,'Calc Avalanche'!F93,'Calc Snowball'!F93,'Calc Cashflow'!F93)</f>
        <v/>
      </c>
      <c r="J87" s="67">
        <f>CHOOSE(Plan!$K$5,'Calc Smart'!G93,'Calc Avalanche'!G93,'Calc Snowball'!G93,'Calc Cashflow'!G93)</f>
        <v/>
      </c>
      <c r="K87" s="67">
        <f>CHOOSE(Plan!$K$5,'Calc Smart'!H93,'Calc Avalanche'!H93,'Calc Snowball'!H93,'Calc Cashflow'!H93)</f>
        <v/>
      </c>
      <c r="L87" s="67">
        <f>CHOOSE(Plan!$K$5,'Calc Smart'!I93,'Calc Avalanche'!I93,'Calc Snowball'!I93,'Calc Cashflow'!I93)</f>
        <v/>
      </c>
      <c r="M87" s="67">
        <f>CHOOSE(Plan!$K$5,'Calc Smart'!J93,'Calc Avalanche'!J93,'Calc Snowball'!J93,'Calc Cashflow'!J93)</f>
        <v/>
      </c>
      <c r="N87" s="67">
        <f>CHOOSE(Plan!$K$5,'Calc Smart'!K93,'Calc Avalanche'!K93,'Calc Snowball'!K93,'Calc Cashflow'!K93)</f>
        <v/>
      </c>
      <c r="O87" s="67">
        <f>CHOOSE(Plan!$K$5,'Calc Smart'!L93,'Calc Avalanche'!L93,'Calc Snowball'!L93,'Calc Cashflow'!L93)</f>
        <v/>
      </c>
      <c r="P87" s="67">
        <f>CHOOSE(Plan!$K$5,'Calc Smart'!M93,'Calc Avalanche'!M93,'Calc Snowball'!M93,'Calc Cashflow'!M93)</f>
        <v/>
      </c>
      <c r="Q87" s="67">
        <f>CHOOSE(Plan!$K$5,'Calc Smart'!N93,'Calc Avalanche'!N93,'Calc Snowball'!N93,'Calc Cashflow'!N93)</f>
        <v/>
      </c>
    </row>
    <row r="88">
      <c r="B88" s="64">
        <f>EDATE(Plan!$C$6,82)</f>
        <v/>
      </c>
      <c r="C88" s="31">
        <f>CHOOSE(Plan!$K$5,'Calc Smart'!AE94,'Calc Avalanche'!AE94,'Calc Snowball'!AE94,'Calc Cashflow'!AE94)</f>
        <v/>
      </c>
      <c r="D88" s="31">
        <f>CHOOSE(Plan!$K$5,'Calc Smart'!AD94,'Calc Avalanche'!AD94,'Calc Snowball'!AD94,'Calc Cashflow'!AD94)</f>
        <v/>
      </c>
      <c r="E88" s="40">
        <f>CHOOSE(Plan!$K$5,COUNTIF('Calc Smart'!C94:N94,"&gt;0"),COUNTIF('Calc Avalanche'!C94:N94,"&gt;0"),COUNTIF('Calc Snowball'!C94:N94,"&gt;0"),COUNTIF('Calc Cashflow'!C94:N94,"&gt;0"))</f>
        <v/>
      </c>
      <c r="F88" s="65">
        <f>CHOOSE(Plan!$K$5,'Calc Smart'!C94,'Calc Avalanche'!C94,'Calc Snowball'!C94,'Calc Cashflow'!C94)</f>
        <v/>
      </c>
      <c r="G88" s="65">
        <f>CHOOSE(Plan!$K$5,'Calc Smart'!D94,'Calc Avalanche'!D94,'Calc Snowball'!D94,'Calc Cashflow'!D94)</f>
        <v/>
      </c>
      <c r="H88" s="65">
        <f>CHOOSE(Plan!$K$5,'Calc Smart'!E94,'Calc Avalanche'!E94,'Calc Snowball'!E94,'Calc Cashflow'!E94)</f>
        <v/>
      </c>
      <c r="I88" s="65">
        <f>CHOOSE(Plan!$K$5,'Calc Smart'!F94,'Calc Avalanche'!F94,'Calc Snowball'!F94,'Calc Cashflow'!F94)</f>
        <v/>
      </c>
      <c r="J88" s="65">
        <f>CHOOSE(Plan!$K$5,'Calc Smart'!G94,'Calc Avalanche'!G94,'Calc Snowball'!G94,'Calc Cashflow'!G94)</f>
        <v/>
      </c>
      <c r="K88" s="65">
        <f>CHOOSE(Plan!$K$5,'Calc Smart'!H94,'Calc Avalanche'!H94,'Calc Snowball'!H94,'Calc Cashflow'!H94)</f>
        <v/>
      </c>
      <c r="L88" s="65">
        <f>CHOOSE(Plan!$K$5,'Calc Smart'!I94,'Calc Avalanche'!I94,'Calc Snowball'!I94,'Calc Cashflow'!I94)</f>
        <v/>
      </c>
      <c r="M88" s="65">
        <f>CHOOSE(Plan!$K$5,'Calc Smart'!J94,'Calc Avalanche'!J94,'Calc Snowball'!J94,'Calc Cashflow'!J94)</f>
        <v/>
      </c>
      <c r="N88" s="65">
        <f>CHOOSE(Plan!$K$5,'Calc Smart'!K94,'Calc Avalanche'!K94,'Calc Snowball'!K94,'Calc Cashflow'!K94)</f>
        <v/>
      </c>
      <c r="O88" s="65">
        <f>CHOOSE(Plan!$K$5,'Calc Smart'!L94,'Calc Avalanche'!L94,'Calc Snowball'!L94,'Calc Cashflow'!L94)</f>
        <v/>
      </c>
      <c r="P88" s="65">
        <f>CHOOSE(Plan!$K$5,'Calc Smart'!M94,'Calc Avalanche'!M94,'Calc Snowball'!M94,'Calc Cashflow'!M94)</f>
        <v/>
      </c>
      <c r="Q88" s="65">
        <f>CHOOSE(Plan!$K$5,'Calc Smart'!N94,'Calc Avalanche'!N94,'Calc Snowball'!N94,'Calc Cashflow'!N94)</f>
        <v/>
      </c>
    </row>
    <row r="89">
      <c r="B89" s="66">
        <f>EDATE(Plan!$C$6,83)</f>
        <v/>
      </c>
      <c r="C89" s="32">
        <f>CHOOSE(Plan!$K$5,'Calc Smart'!AE95,'Calc Avalanche'!AE95,'Calc Snowball'!AE95,'Calc Cashflow'!AE95)</f>
        <v/>
      </c>
      <c r="D89" s="32">
        <f>CHOOSE(Plan!$K$5,'Calc Smart'!AD95,'Calc Avalanche'!AD95,'Calc Snowball'!AD95,'Calc Cashflow'!AD95)</f>
        <v/>
      </c>
      <c r="E89" s="43">
        <f>CHOOSE(Plan!$K$5,COUNTIF('Calc Smart'!C95:N95,"&gt;0"),COUNTIF('Calc Avalanche'!C95:N95,"&gt;0"),COUNTIF('Calc Snowball'!C95:N95,"&gt;0"),COUNTIF('Calc Cashflow'!C95:N95,"&gt;0"))</f>
        <v/>
      </c>
      <c r="F89" s="67">
        <f>CHOOSE(Plan!$K$5,'Calc Smart'!C95,'Calc Avalanche'!C95,'Calc Snowball'!C95,'Calc Cashflow'!C95)</f>
        <v/>
      </c>
      <c r="G89" s="67">
        <f>CHOOSE(Plan!$K$5,'Calc Smart'!D95,'Calc Avalanche'!D95,'Calc Snowball'!D95,'Calc Cashflow'!D95)</f>
        <v/>
      </c>
      <c r="H89" s="67">
        <f>CHOOSE(Plan!$K$5,'Calc Smart'!E95,'Calc Avalanche'!E95,'Calc Snowball'!E95,'Calc Cashflow'!E95)</f>
        <v/>
      </c>
      <c r="I89" s="67">
        <f>CHOOSE(Plan!$K$5,'Calc Smart'!F95,'Calc Avalanche'!F95,'Calc Snowball'!F95,'Calc Cashflow'!F95)</f>
        <v/>
      </c>
      <c r="J89" s="67">
        <f>CHOOSE(Plan!$K$5,'Calc Smart'!G95,'Calc Avalanche'!G95,'Calc Snowball'!G95,'Calc Cashflow'!G95)</f>
        <v/>
      </c>
      <c r="K89" s="67">
        <f>CHOOSE(Plan!$K$5,'Calc Smart'!H95,'Calc Avalanche'!H95,'Calc Snowball'!H95,'Calc Cashflow'!H95)</f>
        <v/>
      </c>
      <c r="L89" s="67">
        <f>CHOOSE(Plan!$K$5,'Calc Smart'!I95,'Calc Avalanche'!I95,'Calc Snowball'!I95,'Calc Cashflow'!I95)</f>
        <v/>
      </c>
      <c r="M89" s="67">
        <f>CHOOSE(Plan!$K$5,'Calc Smart'!J95,'Calc Avalanche'!J95,'Calc Snowball'!J95,'Calc Cashflow'!J95)</f>
        <v/>
      </c>
      <c r="N89" s="67">
        <f>CHOOSE(Plan!$K$5,'Calc Smart'!K95,'Calc Avalanche'!K95,'Calc Snowball'!K95,'Calc Cashflow'!K95)</f>
        <v/>
      </c>
      <c r="O89" s="67">
        <f>CHOOSE(Plan!$K$5,'Calc Smart'!L95,'Calc Avalanche'!L95,'Calc Snowball'!L95,'Calc Cashflow'!L95)</f>
        <v/>
      </c>
      <c r="P89" s="67">
        <f>CHOOSE(Plan!$K$5,'Calc Smart'!M95,'Calc Avalanche'!M95,'Calc Snowball'!M95,'Calc Cashflow'!M95)</f>
        <v/>
      </c>
      <c r="Q89" s="67">
        <f>CHOOSE(Plan!$K$5,'Calc Smart'!N95,'Calc Avalanche'!N95,'Calc Snowball'!N95,'Calc Cashflow'!N95)</f>
        <v/>
      </c>
    </row>
    <row r="90">
      <c r="B90" s="64">
        <f>EDATE(Plan!$C$6,84)</f>
        <v/>
      </c>
      <c r="C90" s="31">
        <f>CHOOSE(Plan!$K$5,'Calc Smart'!AE96,'Calc Avalanche'!AE96,'Calc Snowball'!AE96,'Calc Cashflow'!AE96)</f>
        <v/>
      </c>
      <c r="D90" s="31">
        <f>CHOOSE(Plan!$K$5,'Calc Smart'!AD96,'Calc Avalanche'!AD96,'Calc Snowball'!AD96,'Calc Cashflow'!AD96)</f>
        <v/>
      </c>
      <c r="E90" s="40">
        <f>CHOOSE(Plan!$K$5,COUNTIF('Calc Smart'!C96:N96,"&gt;0"),COUNTIF('Calc Avalanche'!C96:N96,"&gt;0"),COUNTIF('Calc Snowball'!C96:N96,"&gt;0"),COUNTIF('Calc Cashflow'!C96:N96,"&gt;0"))</f>
        <v/>
      </c>
      <c r="F90" s="65">
        <f>CHOOSE(Plan!$K$5,'Calc Smart'!C96,'Calc Avalanche'!C96,'Calc Snowball'!C96,'Calc Cashflow'!C96)</f>
        <v/>
      </c>
      <c r="G90" s="65">
        <f>CHOOSE(Plan!$K$5,'Calc Smart'!D96,'Calc Avalanche'!D96,'Calc Snowball'!D96,'Calc Cashflow'!D96)</f>
        <v/>
      </c>
      <c r="H90" s="65">
        <f>CHOOSE(Plan!$K$5,'Calc Smart'!E96,'Calc Avalanche'!E96,'Calc Snowball'!E96,'Calc Cashflow'!E96)</f>
        <v/>
      </c>
      <c r="I90" s="65">
        <f>CHOOSE(Plan!$K$5,'Calc Smart'!F96,'Calc Avalanche'!F96,'Calc Snowball'!F96,'Calc Cashflow'!F96)</f>
        <v/>
      </c>
      <c r="J90" s="65">
        <f>CHOOSE(Plan!$K$5,'Calc Smart'!G96,'Calc Avalanche'!G96,'Calc Snowball'!G96,'Calc Cashflow'!G96)</f>
        <v/>
      </c>
      <c r="K90" s="65">
        <f>CHOOSE(Plan!$K$5,'Calc Smart'!H96,'Calc Avalanche'!H96,'Calc Snowball'!H96,'Calc Cashflow'!H96)</f>
        <v/>
      </c>
      <c r="L90" s="65">
        <f>CHOOSE(Plan!$K$5,'Calc Smart'!I96,'Calc Avalanche'!I96,'Calc Snowball'!I96,'Calc Cashflow'!I96)</f>
        <v/>
      </c>
      <c r="M90" s="65">
        <f>CHOOSE(Plan!$K$5,'Calc Smart'!J96,'Calc Avalanche'!J96,'Calc Snowball'!J96,'Calc Cashflow'!J96)</f>
        <v/>
      </c>
      <c r="N90" s="65">
        <f>CHOOSE(Plan!$K$5,'Calc Smart'!K96,'Calc Avalanche'!K96,'Calc Snowball'!K96,'Calc Cashflow'!K96)</f>
        <v/>
      </c>
      <c r="O90" s="65">
        <f>CHOOSE(Plan!$K$5,'Calc Smart'!L96,'Calc Avalanche'!L96,'Calc Snowball'!L96,'Calc Cashflow'!L96)</f>
        <v/>
      </c>
      <c r="P90" s="65">
        <f>CHOOSE(Plan!$K$5,'Calc Smart'!M96,'Calc Avalanche'!M96,'Calc Snowball'!M96,'Calc Cashflow'!M96)</f>
        <v/>
      </c>
      <c r="Q90" s="65">
        <f>CHOOSE(Plan!$K$5,'Calc Smart'!N96,'Calc Avalanche'!N96,'Calc Snowball'!N96,'Calc Cashflow'!N96)</f>
        <v/>
      </c>
    </row>
    <row r="91">
      <c r="B91" s="66">
        <f>EDATE(Plan!$C$6,85)</f>
        <v/>
      </c>
      <c r="C91" s="32">
        <f>CHOOSE(Plan!$K$5,'Calc Smart'!AE97,'Calc Avalanche'!AE97,'Calc Snowball'!AE97,'Calc Cashflow'!AE97)</f>
        <v/>
      </c>
      <c r="D91" s="32">
        <f>CHOOSE(Plan!$K$5,'Calc Smart'!AD97,'Calc Avalanche'!AD97,'Calc Snowball'!AD97,'Calc Cashflow'!AD97)</f>
        <v/>
      </c>
      <c r="E91" s="43">
        <f>CHOOSE(Plan!$K$5,COUNTIF('Calc Smart'!C97:N97,"&gt;0"),COUNTIF('Calc Avalanche'!C97:N97,"&gt;0"),COUNTIF('Calc Snowball'!C97:N97,"&gt;0"),COUNTIF('Calc Cashflow'!C97:N97,"&gt;0"))</f>
        <v/>
      </c>
      <c r="F91" s="67">
        <f>CHOOSE(Plan!$K$5,'Calc Smart'!C97,'Calc Avalanche'!C97,'Calc Snowball'!C97,'Calc Cashflow'!C97)</f>
        <v/>
      </c>
      <c r="G91" s="67">
        <f>CHOOSE(Plan!$K$5,'Calc Smart'!D97,'Calc Avalanche'!D97,'Calc Snowball'!D97,'Calc Cashflow'!D97)</f>
        <v/>
      </c>
      <c r="H91" s="67">
        <f>CHOOSE(Plan!$K$5,'Calc Smart'!E97,'Calc Avalanche'!E97,'Calc Snowball'!E97,'Calc Cashflow'!E97)</f>
        <v/>
      </c>
      <c r="I91" s="67">
        <f>CHOOSE(Plan!$K$5,'Calc Smart'!F97,'Calc Avalanche'!F97,'Calc Snowball'!F97,'Calc Cashflow'!F97)</f>
        <v/>
      </c>
      <c r="J91" s="67">
        <f>CHOOSE(Plan!$K$5,'Calc Smart'!G97,'Calc Avalanche'!G97,'Calc Snowball'!G97,'Calc Cashflow'!G97)</f>
        <v/>
      </c>
      <c r="K91" s="67">
        <f>CHOOSE(Plan!$K$5,'Calc Smart'!H97,'Calc Avalanche'!H97,'Calc Snowball'!H97,'Calc Cashflow'!H97)</f>
        <v/>
      </c>
      <c r="L91" s="67">
        <f>CHOOSE(Plan!$K$5,'Calc Smart'!I97,'Calc Avalanche'!I97,'Calc Snowball'!I97,'Calc Cashflow'!I97)</f>
        <v/>
      </c>
      <c r="M91" s="67">
        <f>CHOOSE(Plan!$K$5,'Calc Smart'!J97,'Calc Avalanche'!J97,'Calc Snowball'!J97,'Calc Cashflow'!J97)</f>
        <v/>
      </c>
      <c r="N91" s="67">
        <f>CHOOSE(Plan!$K$5,'Calc Smart'!K97,'Calc Avalanche'!K97,'Calc Snowball'!K97,'Calc Cashflow'!K97)</f>
        <v/>
      </c>
      <c r="O91" s="67">
        <f>CHOOSE(Plan!$K$5,'Calc Smart'!L97,'Calc Avalanche'!L97,'Calc Snowball'!L97,'Calc Cashflow'!L97)</f>
        <v/>
      </c>
      <c r="P91" s="67">
        <f>CHOOSE(Plan!$K$5,'Calc Smart'!M97,'Calc Avalanche'!M97,'Calc Snowball'!M97,'Calc Cashflow'!M97)</f>
        <v/>
      </c>
      <c r="Q91" s="67">
        <f>CHOOSE(Plan!$K$5,'Calc Smart'!N97,'Calc Avalanche'!N97,'Calc Snowball'!N97,'Calc Cashflow'!N97)</f>
        <v/>
      </c>
    </row>
    <row r="92">
      <c r="B92" s="64">
        <f>EDATE(Plan!$C$6,86)</f>
        <v/>
      </c>
      <c r="C92" s="31">
        <f>CHOOSE(Plan!$K$5,'Calc Smart'!AE98,'Calc Avalanche'!AE98,'Calc Snowball'!AE98,'Calc Cashflow'!AE98)</f>
        <v/>
      </c>
      <c r="D92" s="31">
        <f>CHOOSE(Plan!$K$5,'Calc Smart'!AD98,'Calc Avalanche'!AD98,'Calc Snowball'!AD98,'Calc Cashflow'!AD98)</f>
        <v/>
      </c>
      <c r="E92" s="40">
        <f>CHOOSE(Plan!$K$5,COUNTIF('Calc Smart'!C98:N98,"&gt;0"),COUNTIF('Calc Avalanche'!C98:N98,"&gt;0"),COUNTIF('Calc Snowball'!C98:N98,"&gt;0"),COUNTIF('Calc Cashflow'!C98:N98,"&gt;0"))</f>
        <v/>
      </c>
      <c r="F92" s="65">
        <f>CHOOSE(Plan!$K$5,'Calc Smart'!C98,'Calc Avalanche'!C98,'Calc Snowball'!C98,'Calc Cashflow'!C98)</f>
        <v/>
      </c>
      <c r="G92" s="65">
        <f>CHOOSE(Plan!$K$5,'Calc Smart'!D98,'Calc Avalanche'!D98,'Calc Snowball'!D98,'Calc Cashflow'!D98)</f>
        <v/>
      </c>
      <c r="H92" s="65">
        <f>CHOOSE(Plan!$K$5,'Calc Smart'!E98,'Calc Avalanche'!E98,'Calc Snowball'!E98,'Calc Cashflow'!E98)</f>
        <v/>
      </c>
      <c r="I92" s="65">
        <f>CHOOSE(Plan!$K$5,'Calc Smart'!F98,'Calc Avalanche'!F98,'Calc Snowball'!F98,'Calc Cashflow'!F98)</f>
        <v/>
      </c>
      <c r="J92" s="65">
        <f>CHOOSE(Plan!$K$5,'Calc Smart'!G98,'Calc Avalanche'!G98,'Calc Snowball'!G98,'Calc Cashflow'!G98)</f>
        <v/>
      </c>
      <c r="K92" s="65">
        <f>CHOOSE(Plan!$K$5,'Calc Smart'!H98,'Calc Avalanche'!H98,'Calc Snowball'!H98,'Calc Cashflow'!H98)</f>
        <v/>
      </c>
      <c r="L92" s="65">
        <f>CHOOSE(Plan!$K$5,'Calc Smart'!I98,'Calc Avalanche'!I98,'Calc Snowball'!I98,'Calc Cashflow'!I98)</f>
        <v/>
      </c>
      <c r="M92" s="65">
        <f>CHOOSE(Plan!$K$5,'Calc Smart'!J98,'Calc Avalanche'!J98,'Calc Snowball'!J98,'Calc Cashflow'!J98)</f>
        <v/>
      </c>
      <c r="N92" s="65">
        <f>CHOOSE(Plan!$K$5,'Calc Smart'!K98,'Calc Avalanche'!K98,'Calc Snowball'!K98,'Calc Cashflow'!K98)</f>
        <v/>
      </c>
      <c r="O92" s="65">
        <f>CHOOSE(Plan!$K$5,'Calc Smart'!L98,'Calc Avalanche'!L98,'Calc Snowball'!L98,'Calc Cashflow'!L98)</f>
        <v/>
      </c>
      <c r="P92" s="65">
        <f>CHOOSE(Plan!$K$5,'Calc Smart'!M98,'Calc Avalanche'!M98,'Calc Snowball'!M98,'Calc Cashflow'!M98)</f>
        <v/>
      </c>
      <c r="Q92" s="65">
        <f>CHOOSE(Plan!$K$5,'Calc Smart'!N98,'Calc Avalanche'!N98,'Calc Snowball'!N98,'Calc Cashflow'!N98)</f>
        <v/>
      </c>
    </row>
    <row r="93">
      <c r="B93" s="66">
        <f>EDATE(Plan!$C$6,87)</f>
        <v/>
      </c>
      <c r="C93" s="32">
        <f>CHOOSE(Plan!$K$5,'Calc Smart'!AE99,'Calc Avalanche'!AE99,'Calc Snowball'!AE99,'Calc Cashflow'!AE99)</f>
        <v/>
      </c>
      <c r="D93" s="32">
        <f>CHOOSE(Plan!$K$5,'Calc Smart'!AD99,'Calc Avalanche'!AD99,'Calc Snowball'!AD99,'Calc Cashflow'!AD99)</f>
        <v/>
      </c>
      <c r="E93" s="43">
        <f>CHOOSE(Plan!$K$5,COUNTIF('Calc Smart'!C99:N99,"&gt;0"),COUNTIF('Calc Avalanche'!C99:N99,"&gt;0"),COUNTIF('Calc Snowball'!C99:N99,"&gt;0"),COUNTIF('Calc Cashflow'!C99:N99,"&gt;0"))</f>
        <v/>
      </c>
      <c r="F93" s="67">
        <f>CHOOSE(Plan!$K$5,'Calc Smart'!C99,'Calc Avalanche'!C99,'Calc Snowball'!C99,'Calc Cashflow'!C99)</f>
        <v/>
      </c>
      <c r="G93" s="67">
        <f>CHOOSE(Plan!$K$5,'Calc Smart'!D99,'Calc Avalanche'!D99,'Calc Snowball'!D99,'Calc Cashflow'!D99)</f>
        <v/>
      </c>
      <c r="H93" s="67">
        <f>CHOOSE(Plan!$K$5,'Calc Smart'!E99,'Calc Avalanche'!E99,'Calc Snowball'!E99,'Calc Cashflow'!E99)</f>
        <v/>
      </c>
      <c r="I93" s="67">
        <f>CHOOSE(Plan!$K$5,'Calc Smart'!F99,'Calc Avalanche'!F99,'Calc Snowball'!F99,'Calc Cashflow'!F99)</f>
        <v/>
      </c>
      <c r="J93" s="67">
        <f>CHOOSE(Plan!$K$5,'Calc Smart'!G99,'Calc Avalanche'!G99,'Calc Snowball'!G99,'Calc Cashflow'!G99)</f>
        <v/>
      </c>
      <c r="K93" s="67">
        <f>CHOOSE(Plan!$K$5,'Calc Smart'!H99,'Calc Avalanche'!H99,'Calc Snowball'!H99,'Calc Cashflow'!H99)</f>
        <v/>
      </c>
      <c r="L93" s="67">
        <f>CHOOSE(Plan!$K$5,'Calc Smart'!I99,'Calc Avalanche'!I99,'Calc Snowball'!I99,'Calc Cashflow'!I99)</f>
        <v/>
      </c>
      <c r="M93" s="67">
        <f>CHOOSE(Plan!$K$5,'Calc Smart'!J99,'Calc Avalanche'!J99,'Calc Snowball'!J99,'Calc Cashflow'!J99)</f>
        <v/>
      </c>
      <c r="N93" s="67">
        <f>CHOOSE(Plan!$K$5,'Calc Smart'!K99,'Calc Avalanche'!K99,'Calc Snowball'!K99,'Calc Cashflow'!K99)</f>
        <v/>
      </c>
      <c r="O93" s="67">
        <f>CHOOSE(Plan!$K$5,'Calc Smart'!L99,'Calc Avalanche'!L99,'Calc Snowball'!L99,'Calc Cashflow'!L99)</f>
        <v/>
      </c>
      <c r="P93" s="67">
        <f>CHOOSE(Plan!$K$5,'Calc Smart'!M99,'Calc Avalanche'!M99,'Calc Snowball'!M99,'Calc Cashflow'!M99)</f>
        <v/>
      </c>
      <c r="Q93" s="67">
        <f>CHOOSE(Plan!$K$5,'Calc Smart'!N99,'Calc Avalanche'!N99,'Calc Snowball'!N99,'Calc Cashflow'!N99)</f>
        <v/>
      </c>
    </row>
    <row r="94">
      <c r="B94" s="64">
        <f>EDATE(Plan!$C$6,88)</f>
        <v/>
      </c>
      <c r="C94" s="31">
        <f>CHOOSE(Plan!$K$5,'Calc Smart'!AE100,'Calc Avalanche'!AE100,'Calc Snowball'!AE100,'Calc Cashflow'!AE100)</f>
        <v/>
      </c>
      <c r="D94" s="31">
        <f>CHOOSE(Plan!$K$5,'Calc Smart'!AD100,'Calc Avalanche'!AD100,'Calc Snowball'!AD100,'Calc Cashflow'!AD100)</f>
        <v/>
      </c>
      <c r="E94" s="40">
        <f>CHOOSE(Plan!$K$5,COUNTIF('Calc Smart'!C100:N100,"&gt;0"),COUNTIF('Calc Avalanche'!C100:N100,"&gt;0"),COUNTIF('Calc Snowball'!C100:N100,"&gt;0"),COUNTIF('Calc Cashflow'!C100:N100,"&gt;0"))</f>
        <v/>
      </c>
      <c r="F94" s="65">
        <f>CHOOSE(Plan!$K$5,'Calc Smart'!C100,'Calc Avalanche'!C100,'Calc Snowball'!C100,'Calc Cashflow'!C100)</f>
        <v/>
      </c>
      <c r="G94" s="65">
        <f>CHOOSE(Plan!$K$5,'Calc Smart'!D100,'Calc Avalanche'!D100,'Calc Snowball'!D100,'Calc Cashflow'!D100)</f>
        <v/>
      </c>
      <c r="H94" s="65">
        <f>CHOOSE(Plan!$K$5,'Calc Smart'!E100,'Calc Avalanche'!E100,'Calc Snowball'!E100,'Calc Cashflow'!E100)</f>
        <v/>
      </c>
      <c r="I94" s="65">
        <f>CHOOSE(Plan!$K$5,'Calc Smart'!F100,'Calc Avalanche'!F100,'Calc Snowball'!F100,'Calc Cashflow'!F100)</f>
        <v/>
      </c>
      <c r="J94" s="65">
        <f>CHOOSE(Plan!$K$5,'Calc Smart'!G100,'Calc Avalanche'!G100,'Calc Snowball'!G100,'Calc Cashflow'!G100)</f>
        <v/>
      </c>
      <c r="K94" s="65">
        <f>CHOOSE(Plan!$K$5,'Calc Smart'!H100,'Calc Avalanche'!H100,'Calc Snowball'!H100,'Calc Cashflow'!H100)</f>
        <v/>
      </c>
      <c r="L94" s="65">
        <f>CHOOSE(Plan!$K$5,'Calc Smart'!I100,'Calc Avalanche'!I100,'Calc Snowball'!I100,'Calc Cashflow'!I100)</f>
        <v/>
      </c>
      <c r="M94" s="65">
        <f>CHOOSE(Plan!$K$5,'Calc Smart'!J100,'Calc Avalanche'!J100,'Calc Snowball'!J100,'Calc Cashflow'!J100)</f>
        <v/>
      </c>
      <c r="N94" s="65">
        <f>CHOOSE(Plan!$K$5,'Calc Smart'!K100,'Calc Avalanche'!K100,'Calc Snowball'!K100,'Calc Cashflow'!K100)</f>
        <v/>
      </c>
      <c r="O94" s="65">
        <f>CHOOSE(Plan!$K$5,'Calc Smart'!L100,'Calc Avalanche'!L100,'Calc Snowball'!L100,'Calc Cashflow'!L100)</f>
        <v/>
      </c>
      <c r="P94" s="65">
        <f>CHOOSE(Plan!$K$5,'Calc Smart'!M100,'Calc Avalanche'!M100,'Calc Snowball'!M100,'Calc Cashflow'!M100)</f>
        <v/>
      </c>
      <c r="Q94" s="65">
        <f>CHOOSE(Plan!$K$5,'Calc Smart'!N100,'Calc Avalanche'!N100,'Calc Snowball'!N100,'Calc Cashflow'!N100)</f>
        <v/>
      </c>
    </row>
    <row r="95">
      <c r="B95" s="66">
        <f>EDATE(Plan!$C$6,89)</f>
        <v/>
      </c>
      <c r="C95" s="32">
        <f>CHOOSE(Plan!$K$5,'Calc Smart'!AE101,'Calc Avalanche'!AE101,'Calc Snowball'!AE101,'Calc Cashflow'!AE101)</f>
        <v/>
      </c>
      <c r="D95" s="32">
        <f>CHOOSE(Plan!$K$5,'Calc Smart'!AD101,'Calc Avalanche'!AD101,'Calc Snowball'!AD101,'Calc Cashflow'!AD101)</f>
        <v/>
      </c>
      <c r="E95" s="43">
        <f>CHOOSE(Plan!$K$5,COUNTIF('Calc Smart'!C101:N101,"&gt;0"),COUNTIF('Calc Avalanche'!C101:N101,"&gt;0"),COUNTIF('Calc Snowball'!C101:N101,"&gt;0"),COUNTIF('Calc Cashflow'!C101:N101,"&gt;0"))</f>
        <v/>
      </c>
      <c r="F95" s="67">
        <f>CHOOSE(Plan!$K$5,'Calc Smart'!C101,'Calc Avalanche'!C101,'Calc Snowball'!C101,'Calc Cashflow'!C101)</f>
        <v/>
      </c>
      <c r="G95" s="67">
        <f>CHOOSE(Plan!$K$5,'Calc Smart'!D101,'Calc Avalanche'!D101,'Calc Snowball'!D101,'Calc Cashflow'!D101)</f>
        <v/>
      </c>
      <c r="H95" s="67">
        <f>CHOOSE(Plan!$K$5,'Calc Smart'!E101,'Calc Avalanche'!E101,'Calc Snowball'!E101,'Calc Cashflow'!E101)</f>
        <v/>
      </c>
      <c r="I95" s="67">
        <f>CHOOSE(Plan!$K$5,'Calc Smart'!F101,'Calc Avalanche'!F101,'Calc Snowball'!F101,'Calc Cashflow'!F101)</f>
        <v/>
      </c>
      <c r="J95" s="67">
        <f>CHOOSE(Plan!$K$5,'Calc Smart'!G101,'Calc Avalanche'!G101,'Calc Snowball'!G101,'Calc Cashflow'!G101)</f>
        <v/>
      </c>
      <c r="K95" s="67">
        <f>CHOOSE(Plan!$K$5,'Calc Smart'!H101,'Calc Avalanche'!H101,'Calc Snowball'!H101,'Calc Cashflow'!H101)</f>
        <v/>
      </c>
      <c r="L95" s="67">
        <f>CHOOSE(Plan!$K$5,'Calc Smart'!I101,'Calc Avalanche'!I101,'Calc Snowball'!I101,'Calc Cashflow'!I101)</f>
        <v/>
      </c>
      <c r="M95" s="67">
        <f>CHOOSE(Plan!$K$5,'Calc Smart'!J101,'Calc Avalanche'!J101,'Calc Snowball'!J101,'Calc Cashflow'!J101)</f>
        <v/>
      </c>
      <c r="N95" s="67">
        <f>CHOOSE(Plan!$K$5,'Calc Smart'!K101,'Calc Avalanche'!K101,'Calc Snowball'!K101,'Calc Cashflow'!K101)</f>
        <v/>
      </c>
      <c r="O95" s="67">
        <f>CHOOSE(Plan!$K$5,'Calc Smart'!L101,'Calc Avalanche'!L101,'Calc Snowball'!L101,'Calc Cashflow'!L101)</f>
        <v/>
      </c>
      <c r="P95" s="67">
        <f>CHOOSE(Plan!$K$5,'Calc Smart'!M101,'Calc Avalanche'!M101,'Calc Snowball'!M101,'Calc Cashflow'!M101)</f>
        <v/>
      </c>
      <c r="Q95" s="67">
        <f>CHOOSE(Plan!$K$5,'Calc Smart'!N101,'Calc Avalanche'!N101,'Calc Snowball'!N101,'Calc Cashflow'!N101)</f>
        <v/>
      </c>
    </row>
    <row r="96">
      <c r="B96" s="64">
        <f>EDATE(Plan!$C$6,90)</f>
        <v/>
      </c>
      <c r="C96" s="31">
        <f>CHOOSE(Plan!$K$5,'Calc Smart'!AE102,'Calc Avalanche'!AE102,'Calc Snowball'!AE102,'Calc Cashflow'!AE102)</f>
        <v/>
      </c>
      <c r="D96" s="31">
        <f>CHOOSE(Plan!$K$5,'Calc Smart'!AD102,'Calc Avalanche'!AD102,'Calc Snowball'!AD102,'Calc Cashflow'!AD102)</f>
        <v/>
      </c>
      <c r="E96" s="40">
        <f>CHOOSE(Plan!$K$5,COUNTIF('Calc Smart'!C102:N102,"&gt;0"),COUNTIF('Calc Avalanche'!C102:N102,"&gt;0"),COUNTIF('Calc Snowball'!C102:N102,"&gt;0"),COUNTIF('Calc Cashflow'!C102:N102,"&gt;0"))</f>
        <v/>
      </c>
      <c r="F96" s="65">
        <f>CHOOSE(Plan!$K$5,'Calc Smart'!C102,'Calc Avalanche'!C102,'Calc Snowball'!C102,'Calc Cashflow'!C102)</f>
        <v/>
      </c>
      <c r="G96" s="65">
        <f>CHOOSE(Plan!$K$5,'Calc Smart'!D102,'Calc Avalanche'!D102,'Calc Snowball'!D102,'Calc Cashflow'!D102)</f>
        <v/>
      </c>
      <c r="H96" s="65">
        <f>CHOOSE(Plan!$K$5,'Calc Smart'!E102,'Calc Avalanche'!E102,'Calc Snowball'!E102,'Calc Cashflow'!E102)</f>
        <v/>
      </c>
      <c r="I96" s="65">
        <f>CHOOSE(Plan!$K$5,'Calc Smart'!F102,'Calc Avalanche'!F102,'Calc Snowball'!F102,'Calc Cashflow'!F102)</f>
        <v/>
      </c>
      <c r="J96" s="65">
        <f>CHOOSE(Plan!$K$5,'Calc Smart'!G102,'Calc Avalanche'!G102,'Calc Snowball'!G102,'Calc Cashflow'!G102)</f>
        <v/>
      </c>
      <c r="K96" s="65">
        <f>CHOOSE(Plan!$K$5,'Calc Smart'!H102,'Calc Avalanche'!H102,'Calc Snowball'!H102,'Calc Cashflow'!H102)</f>
        <v/>
      </c>
      <c r="L96" s="65">
        <f>CHOOSE(Plan!$K$5,'Calc Smart'!I102,'Calc Avalanche'!I102,'Calc Snowball'!I102,'Calc Cashflow'!I102)</f>
        <v/>
      </c>
      <c r="M96" s="65">
        <f>CHOOSE(Plan!$K$5,'Calc Smart'!J102,'Calc Avalanche'!J102,'Calc Snowball'!J102,'Calc Cashflow'!J102)</f>
        <v/>
      </c>
      <c r="N96" s="65">
        <f>CHOOSE(Plan!$K$5,'Calc Smart'!K102,'Calc Avalanche'!K102,'Calc Snowball'!K102,'Calc Cashflow'!K102)</f>
        <v/>
      </c>
      <c r="O96" s="65">
        <f>CHOOSE(Plan!$K$5,'Calc Smart'!L102,'Calc Avalanche'!L102,'Calc Snowball'!L102,'Calc Cashflow'!L102)</f>
        <v/>
      </c>
      <c r="P96" s="65">
        <f>CHOOSE(Plan!$K$5,'Calc Smart'!M102,'Calc Avalanche'!M102,'Calc Snowball'!M102,'Calc Cashflow'!M102)</f>
        <v/>
      </c>
      <c r="Q96" s="65">
        <f>CHOOSE(Plan!$K$5,'Calc Smart'!N102,'Calc Avalanche'!N102,'Calc Snowball'!N102,'Calc Cashflow'!N102)</f>
        <v/>
      </c>
    </row>
    <row r="97">
      <c r="B97" s="66">
        <f>EDATE(Plan!$C$6,91)</f>
        <v/>
      </c>
      <c r="C97" s="32">
        <f>CHOOSE(Plan!$K$5,'Calc Smart'!AE103,'Calc Avalanche'!AE103,'Calc Snowball'!AE103,'Calc Cashflow'!AE103)</f>
        <v/>
      </c>
      <c r="D97" s="32">
        <f>CHOOSE(Plan!$K$5,'Calc Smart'!AD103,'Calc Avalanche'!AD103,'Calc Snowball'!AD103,'Calc Cashflow'!AD103)</f>
        <v/>
      </c>
      <c r="E97" s="43">
        <f>CHOOSE(Plan!$K$5,COUNTIF('Calc Smart'!C103:N103,"&gt;0"),COUNTIF('Calc Avalanche'!C103:N103,"&gt;0"),COUNTIF('Calc Snowball'!C103:N103,"&gt;0"),COUNTIF('Calc Cashflow'!C103:N103,"&gt;0"))</f>
        <v/>
      </c>
      <c r="F97" s="67">
        <f>CHOOSE(Plan!$K$5,'Calc Smart'!C103,'Calc Avalanche'!C103,'Calc Snowball'!C103,'Calc Cashflow'!C103)</f>
        <v/>
      </c>
      <c r="G97" s="67">
        <f>CHOOSE(Plan!$K$5,'Calc Smart'!D103,'Calc Avalanche'!D103,'Calc Snowball'!D103,'Calc Cashflow'!D103)</f>
        <v/>
      </c>
      <c r="H97" s="67">
        <f>CHOOSE(Plan!$K$5,'Calc Smart'!E103,'Calc Avalanche'!E103,'Calc Snowball'!E103,'Calc Cashflow'!E103)</f>
        <v/>
      </c>
      <c r="I97" s="67">
        <f>CHOOSE(Plan!$K$5,'Calc Smart'!F103,'Calc Avalanche'!F103,'Calc Snowball'!F103,'Calc Cashflow'!F103)</f>
        <v/>
      </c>
      <c r="J97" s="67">
        <f>CHOOSE(Plan!$K$5,'Calc Smart'!G103,'Calc Avalanche'!G103,'Calc Snowball'!G103,'Calc Cashflow'!G103)</f>
        <v/>
      </c>
      <c r="K97" s="67">
        <f>CHOOSE(Plan!$K$5,'Calc Smart'!H103,'Calc Avalanche'!H103,'Calc Snowball'!H103,'Calc Cashflow'!H103)</f>
        <v/>
      </c>
      <c r="L97" s="67">
        <f>CHOOSE(Plan!$K$5,'Calc Smart'!I103,'Calc Avalanche'!I103,'Calc Snowball'!I103,'Calc Cashflow'!I103)</f>
        <v/>
      </c>
      <c r="M97" s="67">
        <f>CHOOSE(Plan!$K$5,'Calc Smart'!J103,'Calc Avalanche'!J103,'Calc Snowball'!J103,'Calc Cashflow'!J103)</f>
        <v/>
      </c>
      <c r="N97" s="67">
        <f>CHOOSE(Plan!$K$5,'Calc Smart'!K103,'Calc Avalanche'!K103,'Calc Snowball'!K103,'Calc Cashflow'!K103)</f>
        <v/>
      </c>
      <c r="O97" s="67">
        <f>CHOOSE(Plan!$K$5,'Calc Smart'!L103,'Calc Avalanche'!L103,'Calc Snowball'!L103,'Calc Cashflow'!L103)</f>
        <v/>
      </c>
      <c r="P97" s="67">
        <f>CHOOSE(Plan!$K$5,'Calc Smart'!M103,'Calc Avalanche'!M103,'Calc Snowball'!M103,'Calc Cashflow'!M103)</f>
        <v/>
      </c>
      <c r="Q97" s="67">
        <f>CHOOSE(Plan!$K$5,'Calc Smart'!N103,'Calc Avalanche'!N103,'Calc Snowball'!N103,'Calc Cashflow'!N103)</f>
        <v/>
      </c>
    </row>
    <row r="98">
      <c r="B98" s="64">
        <f>EDATE(Plan!$C$6,92)</f>
        <v/>
      </c>
      <c r="C98" s="31">
        <f>CHOOSE(Plan!$K$5,'Calc Smart'!AE104,'Calc Avalanche'!AE104,'Calc Snowball'!AE104,'Calc Cashflow'!AE104)</f>
        <v/>
      </c>
      <c r="D98" s="31">
        <f>CHOOSE(Plan!$K$5,'Calc Smart'!AD104,'Calc Avalanche'!AD104,'Calc Snowball'!AD104,'Calc Cashflow'!AD104)</f>
        <v/>
      </c>
      <c r="E98" s="40">
        <f>CHOOSE(Plan!$K$5,COUNTIF('Calc Smart'!C104:N104,"&gt;0"),COUNTIF('Calc Avalanche'!C104:N104,"&gt;0"),COUNTIF('Calc Snowball'!C104:N104,"&gt;0"),COUNTIF('Calc Cashflow'!C104:N104,"&gt;0"))</f>
        <v/>
      </c>
      <c r="F98" s="65">
        <f>CHOOSE(Plan!$K$5,'Calc Smart'!C104,'Calc Avalanche'!C104,'Calc Snowball'!C104,'Calc Cashflow'!C104)</f>
        <v/>
      </c>
      <c r="G98" s="65">
        <f>CHOOSE(Plan!$K$5,'Calc Smart'!D104,'Calc Avalanche'!D104,'Calc Snowball'!D104,'Calc Cashflow'!D104)</f>
        <v/>
      </c>
      <c r="H98" s="65">
        <f>CHOOSE(Plan!$K$5,'Calc Smart'!E104,'Calc Avalanche'!E104,'Calc Snowball'!E104,'Calc Cashflow'!E104)</f>
        <v/>
      </c>
      <c r="I98" s="65">
        <f>CHOOSE(Plan!$K$5,'Calc Smart'!F104,'Calc Avalanche'!F104,'Calc Snowball'!F104,'Calc Cashflow'!F104)</f>
        <v/>
      </c>
      <c r="J98" s="65">
        <f>CHOOSE(Plan!$K$5,'Calc Smart'!G104,'Calc Avalanche'!G104,'Calc Snowball'!G104,'Calc Cashflow'!G104)</f>
        <v/>
      </c>
      <c r="K98" s="65">
        <f>CHOOSE(Plan!$K$5,'Calc Smart'!H104,'Calc Avalanche'!H104,'Calc Snowball'!H104,'Calc Cashflow'!H104)</f>
        <v/>
      </c>
      <c r="L98" s="65">
        <f>CHOOSE(Plan!$K$5,'Calc Smart'!I104,'Calc Avalanche'!I104,'Calc Snowball'!I104,'Calc Cashflow'!I104)</f>
        <v/>
      </c>
      <c r="M98" s="65">
        <f>CHOOSE(Plan!$K$5,'Calc Smart'!J104,'Calc Avalanche'!J104,'Calc Snowball'!J104,'Calc Cashflow'!J104)</f>
        <v/>
      </c>
      <c r="N98" s="65">
        <f>CHOOSE(Plan!$K$5,'Calc Smart'!K104,'Calc Avalanche'!K104,'Calc Snowball'!K104,'Calc Cashflow'!K104)</f>
        <v/>
      </c>
      <c r="O98" s="65">
        <f>CHOOSE(Plan!$K$5,'Calc Smart'!L104,'Calc Avalanche'!L104,'Calc Snowball'!L104,'Calc Cashflow'!L104)</f>
        <v/>
      </c>
      <c r="P98" s="65">
        <f>CHOOSE(Plan!$K$5,'Calc Smart'!M104,'Calc Avalanche'!M104,'Calc Snowball'!M104,'Calc Cashflow'!M104)</f>
        <v/>
      </c>
      <c r="Q98" s="65">
        <f>CHOOSE(Plan!$K$5,'Calc Smart'!N104,'Calc Avalanche'!N104,'Calc Snowball'!N104,'Calc Cashflow'!N104)</f>
        <v/>
      </c>
    </row>
    <row r="99">
      <c r="B99" s="66">
        <f>EDATE(Plan!$C$6,93)</f>
        <v/>
      </c>
      <c r="C99" s="32">
        <f>CHOOSE(Plan!$K$5,'Calc Smart'!AE105,'Calc Avalanche'!AE105,'Calc Snowball'!AE105,'Calc Cashflow'!AE105)</f>
        <v/>
      </c>
      <c r="D99" s="32">
        <f>CHOOSE(Plan!$K$5,'Calc Smart'!AD105,'Calc Avalanche'!AD105,'Calc Snowball'!AD105,'Calc Cashflow'!AD105)</f>
        <v/>
      </c>
      <c r="E99" s="43">
        <f>CHOOSE(Plan!$K$5,COUNTIF('Calc Smart'!C105:N105,"&gt;0"),COUNTIF('Calc Avalanche'!C105:N105,"&gt;0"),COUNTIF('Calc Snowball'!C105:N105,"&gt;0"),COUNTIF('Calc Cashflow'!C105:N105,"&gt;0"))</f>
        <v/>
      </c>
      <c r="F99" s="67">
        <f>CHOOSE(Plan!$K$5,'Calc Smart'!C105,'Calc Avalanche'!C105,'Calc Snowball'!C105,'Calc Cashflow'!C105)</f>
        <v/>
      </c>
      <c r="G99" s="67">
        <f>CHOOSE(Plan!$K$5,'Calc Smart'!D105,'Calc Avalanche'!D105,'Calc Snowball'!D105,'Calc Cashflow'!D105)</f>
        <v/>
      </c>
      <c r="H99" s="67">
        <f>CHOOSE(Plan!$K$5,'Calc Smart'!E105,'Calc Avalanche'!E105,'Calc Snowball'!E105,'Calc Cashflow'!E105)</f>
        <v/>
      </c>
      <c r="I99" s="67">
        <f>CHOOSE(Plan!$K$5,'Calc Smart'!F105,'Calc Avalanche'!F105,'Calc Snowball'!F105,'Calc Cashflow'!F105)</f>
        <v/>
      </c>
      <c r="J99" s="67">
        <f>CHOOSE(Plan!$K$5,'Calc Smart'!G105,'Calc Avalanche'!G105,'Calc Snowball'!G105,'Calc Cashflow'!G105)</f>
        <v/>
      </c>
      <c r="K99" s="67">
        <f>CHOOSE(Plan!$K$5,'Calc Smart'!H105,'Calc Avalanche'!H105,'Calc Snowball'!H105,'Calc Cashflow'!H105)</f>
        <v/>
      </c>
      <c r="L99" s="67">
        <f>CHOOSE(Plan!$K$5,'Calc Smart'!I105,'Calc Avalanche'!I105,'Calc Snowball'!I105,'Calc Cashflow'!I105)</f>
        <v/>
      </c>
      <c r="M99" s="67">
        <f>CHOOSE(Plan!$K$5,'Calc Smart'!J105,'Calc Avalanche'!J105,'Calc Snowball'!J105,'Calc Cashflow'!J105)</f>
        <v/>
      </c>
      <c r="N99" s="67">
        <f>CHOOSE(Plan!$K$5,'Calc Smart'!K105,'Calc Avalanche'!K105,'Calc Snowball'!K105,'Calc Cashflow'!K105)</f>
        <v/>
      </c>
      <c r="O99" s="67">
        <f>CHOOSE(Plan!$K$5,'Calc Smart'!L105,'Calc Avalanche'!L105,'Calc Snowball'!L105,'Calc Cashflow'!L105)</f>
        <v/>
      </c>
      <c r="P99" s="67">
        <f>CHOOSE(Plan!$K$5,'Calc Smart'!M105,'Calc Avalanche'!M105,'Calc Snowball'!M105,'Calc Cashflow'!M105)</f>
        <v/>
      </c>
      <c r="Q99" s="67">
        <f>CHOOSE(Plan!$K$5,'Calc Smart'!N105,'Calc Avalanche'!N105,'Calc Snowball'!N105,'Calc Cashflow'!N105)</f>
        <v/>
      </c>
    </row>
    <row r="100">
      <c r="B100" s="64">
        <f>EDATE(Plan!$C$6,94)</f>
        <v/>
      </c>
      <c r="C100" s="31">
        <f>CHOOSE(Plan!$K$5,'Calc Smart'!AE106,'Calc Avalanche'!AE106,'Calc Snowball'!AE106,'Calc Cashflow'!AE106)</f>
        <v/>
      </c>
      <c r="D100" s="31">
        <f>CHOOSE(Plan!$K$5,'Calc Smart'!AD106,'Calc Avalanche'!AD106,'Calc Snowball'!AD106,'Calc Cashflow'!AD106)</f>
        <v/>
      </c>
      <c r="E100" s="40">
        <f>CHOOSE(Plan!$K$5,COUNTIF('Calc Smart'!C106:N106,"&gt;0"),COUNTIF('Calc Avalanche'!C106:N106,"&gt;0"),COUNTIF('Calc Snowball'!C106:N106,"&gt;0"),COUNTIF('Calc Cashflow'!C106:N106,"&gt;0"))</f>
        <v/>
      </c>
      <c r="F100" s="65">
        <f>CHOOSE(Plan!$K$5,'Calc Smart'!C106,'Calc Avalanche'!C106,'Calc Snowball'!C106,'Calc Cashflow'!C106)</f>
        <v/>
      </c>
      <c r="G100" s="65">
        <f>CHOOSE(Plan!$K$5,'Calc Smart'!D106,'Calc Avalanche'!D106,'Calc Snowball'!D106,'Calc Cashflow'!D106)</f>
        <v/>
      </c>
      <c r="H100" s="65">
        <f>CHOOSE(Plan!$K$5,'Calc Smart'!E106,'Calc Avalanche'!E106,'Calc Snowball'!E106,'Calc Cashflow'!E106)</f>
        <v/>
      </c>
      <c r="I100" s="65">
        <f>CHOOSE(Plan!$K$5,'Calc Smart'!F106,'Calc Avalanche'!F106,'Calc Snowball'!F106,'Calc Cashflow'!F106)</f>
        <v/>
      </c>
      <c r="J100" s="65">
        <f>CHOOSE(Plan!$K$5,'Calc Smart'!G106,'Calc Avalanche'!G106,'Calc Snowball'!G106,'Calc Cashflow'!G106)</f>
        <v/>
      </c>
      <c r="K100" s="65">
        <f>CHOOSE(Plan!$K$5,'Calc Smart'!H106,'Calc Avalanche'!H106,'Calc Snowball'!H106,'Calc Cashflow'!H106)</f>
        <v/>
      </c>
      <c r="L100" s="65">
        <f>CHOOSE(Plan!$K$5,'Calc Smart'!I106,'Calc Avalanche'!I106,'Calc Snowball'!I106,'Calc Cashflow'!I106)</f>
        <v/>
      </c>
      <c r="M100" s="65">
        <f>CHOOSE(Plan!$K$5,'Calc Smart'!J106,'Calc Avalanche'!J106,'Calc Snowball'!J106,'Calc Cashflow'!J106)</f>
        <v/>
      </c>
      <c r="N100" s="65">
        <f>CHOOSE(Plan!$K$5,'Calc Smart'!K106,'Calc Avalanche'!K106,'Calc Snowball'!K106,'Calc Cashflow'!K106)</f>
        <v/>
      </c>
      <c r="O100" s="65">
        <f>CHOOSE(Plan!$K$5,'Calc Smart'!L106,'Calc Avalanche'!L106,'Calc Snowball'!L106,'Calc Cashflow'!L106)</f>
        <v/>
      </c>
      <c r="P100" s="65">
        <f>CHOOSE(Plan!$K$5,'Calc Smart'!M106,'Calc Avalanche'!M106,'Calc Snowball'!M106,'Calc Cashflow'!M106)</f>
        <v/>
      </c>
      <c r="Q100" s="65">
        <f>CHOOSE(Plan!$K$5,'Calc Smart'!N106,'Calc Avalanche'!N106,'Calc Snowball'!N106,'Calc Cashflow'!N106)</f>
        <v/>
      </c>
    </row>
    <row r="101">
      <c r="B101" s="66">
        <f>EDATE(Plan!$C$6,95)</f>
        <v/>
      </c>
      <c r="C101" s="32">
        <f>CHOOSE(Plan!$K$5,'Calc Smart'!AE107,'Calc Avalanche'!AE107,'Calc Snowball'!AE107,'Calc Cashflow'!AE107)</f>
        <v/>
      </c>
      <c r="D101" s="32">
        <f>CHOOSE(Plan!$K$5,'Calc Smart'!AD107,'Calc Avalanche'!AD107,'Calc Snowball'!AD107,'Calc Cashflow'!AD107)</f>
        <v/>
      </c>
      <c r="E101" s="43">
        <f>CHOOSE(Plan!$K$5,COUNTIF('Calc Smart'!C107:N107,"&gt;0"),COUNTIF('Calc Avalanche'!C107:N107,"&gt;0"),COUNTIF('Calc Snowball'!C107:N107,"&gt;0"),COUNTIF('Calc Cashflow'!C107:N107,"&gt;0"))</f>
        <v/>
      </c>
      <c r="F101" s="67">
        <f>CHOOSE(Plan!$K$5,'Calc Smart'!C107,'Calc Avalanche'!C107,'Calc Snowball'!C107,'Calc Cashflow'!C107)</f>
        <v/>
      </c>
      <c r="G101" s="67">
        <f>CHOOSE(Plan!$K$5,'Calc Smart'!D107,'Calc Avalanche'!D107,'Calc Snowball'!D107,'Calc Cashflow'!D107)</f>
        <v/>
      </c>
      <c r="H101" s="67">
        <f>CHOOSE(Plan!$K$5,'Calc Smart'!E107,'Calc Avalanche'!E107,'Calc Snowball'!E107,'Calc Cashflow'!E107)</f>
        <v/>
      </c>
      <c r="I101" s="67">
        <f>CHOOSE(Plan!$K$5,'Calc Smart'!F107,'Calc Avalanche'!F107,'Calc Snowball'!F107,'Calc Cashflow'!F107)</f>
        <v/>
      </c>
      <c r="J101" s="67">
        <f>CHOOSE(Plan!$K$5,'Calc Smart'!G107,'Calc Avalanche'!G107,'Calc Snowball'!G107,'Calc Cashflow'!G107)</f>
        <v/>
      </c>
      <c r="K101" s="67">
        <f>CHOOSE(Plan!$K$5,'Calc Smart'!H107,'Calc Avalanche'!H107,'Calc Snowball'!H107,'Calc Cashflow'!H107)</f>
        <v/>
      </c>
      <c r="L101" s="67">
        <f>CHOOSE(Plan!$K$5,'Calc Smart'!I107,'Calc Avalanche'!I107,'Calc Snowball'!I107,'Calc Cashflow'!I107)</f>
        <v/>
      </c>
      <c r="M101" s="67">
        <f>CHOOSE(Plan!$K$5,'Calc Smart'!J107,'Calc Avalanche'!J107,'Calc Snowball'!J107,'Calc Cashflow'!J107)</f>
        <v/>
      </c>
      <c r="N101" s="67">
        <f>CHOOSE(Plan!$K$5,'Calc Smart'!K107,'Calc Avalanche'!K107,'Calc Snowball'!K107,'Calc Cashflow'!K107)</f>
        <v/>
      </c>
      <c r="O101" s="67">
        <f>CHOOSE(Plan!$K$5,'Calc Smart'!L107,'Calc Avalanche'!L107,'Calc Snowball'!L107,'Calc Cashflow'!L107)</f>
        <v/>
      </c>
      <c r="P101" s="67">
        <f>CHOOSE(Plan!$K$5,'Calc Smart'!M107,'Calc Avalanche'!M107,'Calc Snowball'!M107,'Calc Cashflow'!M107)</f>
        <v/>
      </c>
      <c r="Q101" s="67">
        <f>CHOOSE(Plan!$K$5,'Calc Smart'!N107,'Calc Avalanche'!N107,'Calc Snowball'!N107,'Calc Cashflow'!N107)</f>
        <v/>
      </c>
    </row>
    <row r="102">
      <c r="B102" s="64">
        <f>EDATE(Plan!$C$6,96)</f>
        <v/>
      </c>
      <c r="C102" s="31">
        <f>CHOOSE(Plan!$K$5,'Calc Smart'!AE108,'Calc Avalanche'!AE108,'Calc Snowball'!AE108,'Calc Cashflow'!AE108)</f>
        <v/>
      </c>
      <c r="D102" s="31">
        <f>CHOOSE(Plan!$K$5,'Calc Smart'!AD108,'Calc Avalanche'!AD108,'Calc Snowball'!AD108,'Calc Cashflow'!AD108)</f>
        <v/>
      </c>
      <c r="E102" s="40">
        <f>CHOOSE(Plan!$K$5,COUNTIF('Calc Smart'!C108:N108,"&gt;0"),COUNTIF('Calc Avalanche'!C108:N108,"&gt;0"),COUNTIF('Calc Snowball'!C108:N108,"&gt;0"),COUNTIF('Calc Cashflow'!C108:N108,"&gt;0"))</f>
        <v/>
      </c>
      <c r="F102" s="65">
        <f>CHOOSE(Plan!$K$5,'Calc Smart'!C108,'Calc Avalanche'!C108,'Calc Snowball'!C108,'Calc Cashflow'!C108)</f>
        <v/>
      </c>
      <c r="G102" s="65">
        <f>CHOOSE(Plan!$K$5,'Calc Smart'!D108,'Calc Avalanche'!D108,'Calc Snowball'!D108,'Calc Cashflow'!D108)</f>
        <v/>
      </c>
      <c r="H102" s="65">
        <f>CHOOSE(Plan!$K$5,'Calc Smart'!E108,'Calc Avalanche'!E108,'Calc Snowball'!E108,'Calc Cashflow'!E108)</f>
        <v/>
      </c>
      <c r="I102" s="65">
        <f>CHOOSE(Plan!$K$5,'Calc Smart'!F108,'Calc Avalanche'!F108,'Calc Snowball'!F108,'Calc Cashflow'!F108)</f>
        <v/>
      </c>
      <c r="J102" s="65">
        <f>CHOOSE(Plan!$K$5,'Calc Smart'!G108,'Calc Avalanche'!G108,'Calc Snowball'!G108,'Calc Cashflow'!G108)</f>
        <v/>
      </c>
      <c r="K102" s="65">
        <f>CHOOSE(Plan!$K$5,'Calc Smart'!H108,'Calc Avalanche'!H108,'Calc Snowball'!H108,'Calc Cashflow'!H108)</f>
        <v/>
      </c>
      <c r="L102" s="65">
        <f>CHOOSE(Plan!$K$5,'Calc Smart'!I108,'Calc Avalanche'!I108,'Calc Snowball'!I108,'Calc Cashflow'!I108)</f>
        <v/>
      </c>
      <c r="M102" s="65">
        <f>CHOOSE(Plan!$K$5,'Calc Smart'!J108,'Calc Avalanche'!J108,'Calc Snowball'!J108,'Calc Cashflow'!J108)</f>
        <v/>
      </c>
      <c r="N102" s="65">
        <f>CHOOSE(Plan!$K$5,'Calc Smart'!K108,'Calc Avalanche'!K108,'Calc Snowball'!K108,'Calc Cashflow'!K108)</f>
        <v/>
      </c>
      <c r="O102" s="65">
        <f>CHOOSE(Plan!$K$5,'Calc Smart'!L108,'Calc Avalanche'!L108,'Calc Snowball'!L108,'Calc Cashflow'!L108)</f>
        <v/>
      </c>
      <c r="P102" s="65">
        <f>CHOOSE(Plan!$K$5,'Calc Smart'!M108,'Calc Avalanche'!M108,'Calc Snowball'!M108,'Calc Cashflow'!M108)</f>
        <v/>
      </c>
      <c r="Q102" s="65">
        <f>CHOOSE(Plan!$K$5,'Calc Smart'!N108,'Calc Avalanche'!N108,'Calc Snowball'!N108,'Calc Cashflow'!N108)</f>
        <v/>
      </c>
    </row>
    <row r="103">
      <c r="B103" s="66">
        <f>EDATE(Plan!$C$6,97)</f>
        <v/>
      </c>
      <c r="C103" s="32">
        <f>CHOOSE(Plan!$K$5,'Calc Smart'!AE109,'Calc Avalanche'!AE109,'Calc Snowball'!AE109,'Calc Cashflow'!AE109)</f>
        <v/>
      </c>
      <c r="D103" s="32">
        <f>CHOOSE(Plan!$K$5,'Calc Smart'!AD109,'Calc Avalanche'!AD109,'Calc Snowball'!AD109,'Calc Cashflow'!AD109)</f>
        <v/>
      </c>
      <c r="E103" s="43">
        <f>CHOOSE(Plan!$K$5,COUNTIF('Calc Smart'!C109:N109,"&gt;0"),COUNTIF('Calc Avalanche'!C109:N109,"&gt;0"),COUNTIF('Calc Snowball'!C109:N109,"&gt;0"),COUNTIF('Calc Cashflow'!C109:N109,"&gt;0"))</f>
        <v/>
      </c>
      <c r="F103" s="67">
        <f>CHOOSE(Plan!$K$5,'Calc Smart'!C109,'Calc Avalanche'!C109,'Calc Snowball'!C109,'Calc Cashflow'!C109)</f>
        <v/>
      </c>
      <c r="G103" s="67">
        <f>CHOOSE(Plan!$K$5,'Calc Smart'!D109,'Calc Avalanche'!D109,'Calc Snowball'!D109,'Calc Cashflow'!D109)</f>
        <v/>
      </c>
      <c r="H103" s="67">
        <f>CHOOSE(Plan!$K$5,'Calc Smart'!E109,'Calc Avalanche'!E109,'Calc Snowball'!E109,'Calc Cashflow'!E109)</f>
        <v/>
      </c>
      <c r="I103" s="67">
        <f>CHOOSE(Plan!$K$5,'Calc Smart'!F109,'Calc Avalanche'!F109,'Calc Snowball'!F109,'Calc Cashflow'!F109)</f>
        <v/>
      </c>
      <c r="J103" s="67">
        <f>CHOOSE(Plan!$K$5,'Calc Smart'!G109,'Calc Avalanche'!G109,'Calc Snowball'!G109,'Calc Cashflow'!G109)</f>
        <v/>
      </c>
      <c r="K103" s="67">
        <f>CHOOSE(Plan!$K$5,'Calc Smart'!H109,'Calc Avalanche'!H109,'Calc Snowball'!H109,'Calc Cashflow'!H109)</f>
        <v/>
      </c>
      <c r="L103" s="67">
        <f>CHOOSE(Plan!$K$5,'Calc Smart'!I109,'Calc Avalanche'!I109,'Calc Snowball'!I109,'Calc Cashflow'!I109)</f>
        <v/>
      </c>
      <c r="M103" s="67">
        <f>CHOOSE(Plan!$K$5,'Calc Smart'!J109,'Calc Avalanche'!J109,'Calc Snowball'!J109,'Calc Cashflow'!J109)</f>
        <v/>
      </c>
      <c r="N103" s="67">
        <f>CHOOSE(Plan!$K$5,'Calc Smart'!K109,'Calc Avalanche'!K109,'Calc Snowball'!K109,'Calc Cashflow'!K109)</f>
        <v/>
      </c>
      <c r="O103" s="67">
        <f>CHOOSE(Plan!$K$5,'Calc Smart'!L109,'Calc Avalanche'!L109,'Calc Snowball'!L109,'Calc Cashflow'!L109)</f>
        <v/>
      </c>
      <c r="P103" s="67">
        <f>CHOOSE(Plan!$K$5,'Calc Smart'!M109,'Calc Avalanche'!M109,'Calc Snowball'!M109,'Calc Cashflow'!M109)</f>
        <v/>
      </c>
      <c r="Q103" s="67">
        <f>CHOOSE(Plan!$K$5,'Calc Smart'!N109,'Calc Avalanche'!N109,'Calc Snowball'!N109,'Calc Cashflow'!N109)</f>
        <v/>
      </c>
    </row>
    <row r="104">
      <c r="B104" s="64">
        <f>EDATE(Plan!$C$6,98)</f>
        <v/>
      </c>
      <c r="C104" s="31">
        <f>CHOOSE(Plan!$K$5,'Calc Smart'!AE110,'Calc Avalanche'!AE110,'Calc Snowball'!AE110,'Calc Cashflow'!AE110)</f>
        <v/>
      </c>
      <c r="D104" s="31">
        <f>CHOOSE(Plan!$K$5,'Calc Smart'!AD110,'Calc Avalanche'!AD110,'Calc Snowball'!AD110,'Calc Cashflow'!AD110)</f>
        <v/>
      </c>
      <c r="E104" s="40">
        <f>CHOOSE(Plan!$K$5,COUNTIF('Calc Smart'!C110:N110,"&gt;0"),COUNTIF('Calc Avalanche'!C110:N110,"&gt;0"),COUNTIF('Calc Snowball'!C110:N110,"&gt;0"),COUNTIF('Calc Cashflow'!C110:N110,"&gt;0"))</f>
        <v/>
      </c>
      <c r="F104" s="65">
        <f>CHOOSE(Plan!$K$5,'Calc Smart'!C110,'Calc Avalanche'!C110,'Calc Snowball'!C110,'Calc Cashflow'!C110)</f>
        <v/>
      </c>
      <c r="G104" s="65">
        <f>CHOOSE(Plan!$K$5,'Calc Smart'!D110,'Calc Avalanche'!D110,'Calc Snowball'!D110,'Calc Cashflow'!D110)</f>
        <v/>
      </c>
      <c r="H104" s="65">
        <f>CHOOSE(Plan!$K$5,'Calc Smart'!E110,'Calc Avalanche'!E110,'Calc Snowball'!E110,'Calc Cashflow'!E110)</f>
        <v/>
      </c>
      <c r="I104" s="65">
        <f>CHOOSE(Plan!$K$5,'Calc Smart'!F110,'Calc Avalanche'!F110,'Calc Snowball'!F110,'Calc Cashflow'!F110)</f>
        <v/>
      </c>
      <c r="J104" s="65">
        <f>CHOOSE(Plan!$K$5,'Calc Smart'!G110,'Calc Avalanche'!G110,'Calc Snowball'!G110,'Calc Cashflow'!G110)</f>
        <v/>
      </c>
      <c r="K104" s="65">
        <f>CHOOSE(Plan!$K$5,'Calc Smart'!H110,'Calc Avalanche'!H110,'Calc Snowball'!H110,'Calc Cashflow'!H110)</f>
        <v/>
      </c>
      <c r="L104" s="65">
        <f>CHOOSE(Plan!$K$5,'Calc Smart'!I110,'Calc Avalanche'!I110,'Calc Snowball'!I110,'Calc Cashflow'!I110)</f>
        <v/>
      </c>
      <c r="M104" s="65">
        <f>CHOOSE(Plan!$K$5,'Calc Smart'!J110,'Calc Avalanche'!J110,'Calc Snowball'!J110,'Calc Cashflow'!J110)</f>
        <v/>
      </c>
      <c r="N104" s="65">
        <f>CHOOSE(Plan!$K$5,'Calc Smart'!K110,'Calc Avalanche'!K110,'Calc Snowball'!K110,'Calc Cashflow'!K110)</f>
        <v/>
      </c>
      <c r="O104" s="65">
        <f>CHOOSE(Plan!$K$5,'Calc Smart'!L110,'Calc Avalanche'!L110,'Calc Snowball'!L110,'Calc Cashflow'!L110)</f>
        <v/>
      </c>
      <c r="P104" s="65">
        <f>CHOOSE(Plan!$K$5,'Calc Smart'!M110,'Calc Avalanche'!M110,'Calc Snowball'!M110,'Calc Cashflow'!M110)</f>
        <v/>
      </c>
      <c r="Q104" s="65">
        <f>CHOOSE(Plan!$K$5,'Calc Smart'!N110,'Calc Avalanche'!N110,'Calc Snowball'!N110,'Calc Cashflow'!N110)</f>
        <v/>
      </c>
    </row>
    <row r="105">
      <c r="B105" s="66">
        <f>EDATE(Plan!$C$6,99)</f>
        <v/>
      </c>
      <c r="C105" s="32">
        <f>CHOOSE(Plan!$K$5,'Calc Smart'!AE111,'Calc Avalanche'!AE111,'Calc Snowball'!AE111,'Calc Cashflow'!AE111)</f>
        <v/>
      </c>
      <c r="D105" s="32">
        <f>CHOOSE(Plan!$K$5,'Calc Smart'!AD111,'Calc Avalanche'!AD111,'Calc Snowball'!AD111,'Calc Cashflow'!AD111)</f>
        <v/>
      </c>
      <c r="E105" s="43">
        <f>CHOOSE(Plan!$K$5,COUNTIF('Calc Smart'!C111:N111,"&gt;0"),COUNTIF('Calc Avalanche'!C111:N111,"&gt;0"),COUNTIF('Calc Snowball'!C111:N111,"&gt;0"),COUNTIF('Calc Cashflow'!C111:N111,"&gt;0"))</f>
        <v/>
      </c>
      <c r="F105" s="67">
        <f>CHOOSE(Plan!$K$5,'Calc Smart'!C111,'Calc Avalanche'!C111,'Calc Snowball'!C111,'Calc Cashflow'!C111)</f>
        <v/>
      </c>
      <c r="G105" s="67">
        <f>CHOOSE(Plan!$K$5,'Calc Smart'!D111,'Calc Avalanche'!D111,'Calc Snowball'!D111,'Calc Cashflow'!D111)</f>
        <v/>
      </c>
      <c r="H105" s="67">
        <f>CHOOSE(Plan!$K$5,'Calc Smart'!E111,'Calc Avalanche'!E111,'Calc Snowball'!E111,'Calc Cashflow'!E111)</f>
        <v/>
      </c>
      <c r="I105" s="67">
        <f>CHOOSE(Plan!$K$5,'Calc Smart'!F111,'Calc Avalanche'!F111,'Calc Snowball'!F111,'Calc Cashflow'!F111)</f>
        <v/>
      </c>
      <c r="J105" s="67">
        <f>CHOOSE(Plan!$K$5,'Calc Smart'!G111,'Calc Avalanche'!G111,'Calc Snowball'!G111,'Calc Cashflow'!G111)</f>
        <v/>
      </c>
      <c r="K105" s="67">
        <f>CHOOSE(Plan!$K$5,'Calc Smart'!H111,'Calc Avalanche'!H111,'Calc Snowball'!H111,'Calc Cashflow'!H111)</f>
        <v/>
      </c>
      <c r="L105" s="67">
        <f>CHOOSE(Plan!$K$5,'Calc Smart'!I111,'Calc Avalanche'!I111,'Calc Snowball'!I111,'Calc Cashflow'!I111)</f>
        <v/>
      </c>
      <c r="M105" s="67">
        <f>CHOOSE(Plan!$K$5,'Calc Smart'!J111,'Calc Avalanche'!J111,'Calc Snowball'!J111,'Calc Cashflow'!J111)</f>
        <v/>
      </c>
      <c r="N105" s="67">
        <f>CHOOSE(Plan!$K$5,'Calc Smart'!K111,'Calc Avalanche'!K111,'Calc Snowball'!K111,'Calc Cashflow'!K111)</f>
        <v/>
      </c>
      <c r="O105" s="67">
        <f>CHOOSE(Plan!$K$5,'Calc Smart'!L111,'Calc Avalanche'!L111,'Calc Snowball'!L111,'Calc Cashflow'!L111)</f>
        <v/>
      </c>
      <c r="P105" s="67">
        <f>CHOOSE(Plan!$K$5,'Calc Smart'!M111,'Calc Avalanche'!M111,'Calc Snowball'!M111,'Calc Cashflow'!M111)</f>
        <v/>
      </c>
      <c r="Q105" s="67">
        <f>CHOOSE(Plan!$K$5,'Calc Smart'!N111,'Calc Avalanche'!N111,'Calc Snowball'!N111,'Calc Cashflow'!N111)</f>
        <v/>
      </c>
    </row>
    <row r="106">
      <c r="B106" s="64">
        <f>EDATE(Plan!$C$6,100)</f>
        <v/>
      </c>
      <c r="C106" s="31">
        <f>CHOOSE(Plan!$K$5,'Calc Smart'!AE112,'Calc Avalanche'!AE112,'Calc Snowball'!AE112,'Calc Cashflow'!AE112)</f>
        <v/>
      </c>
      <c r="D106" s="31">
        <f>CHOOSE(Plan!$K$5,'Calc Smart'!AD112,'Calc Avalanche'!AD112,'Calc Snowball'!AD112,'Calc Cashflow'!AD112)</f>
        <v/>
      </c>
      <c r="E106" s="40">
        <f>CHOOSE(Plan!$K$5,COUNTIF('Calc Smart'!C112:N112,"&gt;0"),COUNTIF('Calc Avalanche'!C112:N112,"&gt;0"),COUNTIF('Calc Snowball'!C112:N112,"&gt;0"),COUNTIF('Calc Cashflow'!C112:N112,"&gt;0"))</f>
        <v/>
      </c>
      <c r="F106" s="65">
        <f>CHOOSE(Plan!$K$5,'Calc Smart'!C112,'Calc Avalanche'!C112,'Calc Snowball'!C112,'Calc Cashflow'!C112)</f>
        <v/>
      </c>
      <c r="G106" s="65">
        <f>CHOOSE(Plan!$K$5,'Calc Smart'!D112,'Calc Avalanche'!D112,'Calc Snowball'!D112,'Calc Cashflow'!D112)</f>
        <v/>
      </c>
      <c r="H106" s="65">
        <f>CHOOSE(Plan!$K$5,'Calc Smart'!E112,'Calc Avalanche'!E112,'Calc Snowball'!E112,'Calc Cashflow'!E112)</f>
        <v/>
      </c>
      <c r="I106" s="65">
        <f>CHOOSE(Plan!$K$5,'Calc Smart'!F112,'Calc Avalanche'!F112,'Calc Snowball'!F112,'Calc Cashflow'!F112)</f>
        <v/>
      </c>
      <c r="J106" s="65">
        <f>CHOOSE(Plan!$K$5,'Calc Smart'!G112,'Calc Avalanche'!G112,'Calc Snowball'!G112,'Calc Cashflow'!G112)</f>
        <v/>
      </c>
      <c r="K106" s="65">
        <f>CHOOSE(Plan!$K$5,'Calc Smart'!H112,'Calc Avalanche'!H112,'Calc Snowball'!H112,'Calc Cashflow'!H112)</f>
        <v/>
      </c>
      <c r="L106" s="65">
        <f>CHOOSE(Plan!$K$5,'Calc Smart'!I112,'Calc Avalanche'!I112,'Calc Snowball'!I112,'Calc Cashflow'!I112)</f>
        <v/>
      </c>
      <c r="M106" s="65">
        <f>CHOOSE(Plan!$K$5,'Calc Smart'!J112,'Calc Avalanche'!J112,'Calc Snowball'!J112,'Calc Cashflow'!J112)</f>
        <v/>
      </c>
      <c r="N106" s="65">
        <f>CHOOSE(Plan!$K$5,'Calc Smart'!K112,'Calc Avalanche'!K112,'Calc Snowball'!K112,'Calc Cashflow'!K112)</f>
        <v/>
      </c>
      <c r="O106" s="65">
        <f>CHOOSE(Plan!$K$5,'Calc Smart'!L112,'Calc Avalanche'!L112,'Calc Snowball'!L112,'Calc Cashflow'!L112)</f>
        <v/>
      </c>
      <c r="P106" s="65">
        <f>CHOOSE(Plan!$K$5,'Calc Smart'!M112,'Calc Avalanche'!M112,'Calc Snowball'!M112,'Calc Cashflow'!M112)</f>
        <v/>
      </c>
      <c r="Q106" s="65">
        <f>CHOOSE(Plan!$K$5,'Calc Smart'!N112,'Calc Avalanche'!N112,'Calc Snowball'!N112,'Calc Cashflow'!N112)</f>
        <v/>
      </c>
    </row>
    <row r="107">
      <c r="B107" s="66">
        <f>EDATE(Plan!$C$6,101)</f>
        <v/>
      </c>
      <c r="C107" s="32">
        <f>CHOOSE(Plan!$K$5,'Calc Smart'!AE113,'Calc Avalanche'!AE113,'Calc Snowball'!AE113,'Calc Cashflow'!AE113)</f>
        <v/>
      </c>
      <c r="D107" s="32">
        <f>CHOOSE(Plan!$K$5,'Calc Smart'!AD113,'Calc Avalanche'!AD113,'Calc Snowball'!AD113,'Calc Cashflow'!AD113)</f>
        <v/>
      </c>
      <c r="E107" s="43">
        <f>CHOOSE(Plan!$K$5,COUNTIF('Calc Smart'!C113:N113,"&gt;0"),COUNTIF('Calc Avalanche'!C113:N113,"&gt;0"),COUNTIF('Calc Snowball'!C113:N113,"&gt;0"),COUNTIF('Calc Cashflow'!C113:N113,"&gt;0"))</f>
        <v/>
      </c>
      <c r="F107" s="67">
        <f>CHOOSE(Plan!$K$5,'Calc Smart'!C113,'Calc Avalanche'!C113,'Calc Snowball'!C113,'Calc Cashflow'!C113)</f>
        <v/>
      </c>
      <c r="G107" s="67">
        <f>CHOOSE(Plan!$K$5,'Calc Smart'!D113,'Calc Avalanche'!D113,'Calc Snowball'!D113,'Calc Cashflow'!D113)</f>
        <v/>
      </c>
      <c r="H107" s="67">
        <f>CHOOSE(Plan!$K$5,'Calc Smart'!E113,'Calc Avalanche'!E113,'Calc Snowball'!E113,'Calc Cashflow'!E113)</f>
        <v/>
      </c>
      <c r="I107" s="67">
        <f>CHOOSE(Plan!$K$5,'Calc Smart'!F113,'Calc Avalanche'!F113,'Calc Snowball'!F113,'Calc Cashflow'!F113)</f>
        <v/>
      </c>
      <c r="J107" s="67">
        <f>CHOOSE(Plan!$K$5,'Calc Smart'!G113,'Calc Avalanche'!G113,'Calc Snowball'!G113,'Calc Cashflow'!G113)</f>
        <v/>
      </c>
      <c r="K107" s="67">
        <f>CHOOSE(Plan!$K$5,'Calc Smart'!H113,'Calc Avalanche'!H113,'Calc Snowball'!H113,'Calc Cashflow'!H113)</f>
        <v/>
      </c>
      <c r="L107" s="67">
        <f>CHOOSE(Plan!$K$5,'Calc Smart'!I113,'Calc Avalanche'!I113,'Calc Snowball'!I113,'Calc Cashflow'!I113)</f>
        <v/>
      </c>
      <c r="M107" s="67">
        <f>CHOOSE(Plan!$K$5,'Calc Smart'!J113,'Calc Avalanche'!J113,'Calc Snowball'!J113,'Calc Cashflow'!J113)</f>
        <v/>
      </c>
      <c r="N107" s="67">
        <f>CHOOSE(Plan!$K$5,'Calc Smart'!K113,'Calc Avalanche'!K113,'Calc Snowball'!K113,'Calc Cashflow'!K113)</f>
        <v/>
      </c>
      <c r="O107" s="67">
        <f>CHOOSE(Plan!$K$5,'Calc Smart'!L113,'Calc Avalanche'!L113,'Calc Snowball'!L113,'Calc Cashflow'!L113)</f>
        <v/>
      </c>
      <c r="P107" s="67">
        <f>CHOOSE(Plan!$K$5,'Calc Smart'!M113,'Calc Avalanche'!M113,'Calc Snowball'!M113,'Calc Cashflow'!M113)</f>
        <v/>
      </c>
      <c r="Q107" s="67">
        <f>CHOOSE(Plan!$K$5,'Calc Smart'!N113,'Calc Avalanche'!N113,'Calc Snowball'!N113,'Calc Cashflow'!N113)</f>
        <v/>
      </c>
    </row>
    <row r="108">
      <c r="B108" s="64">
        <f>EDATE(Plan!$C$6,102)</f>
        <v/>
      </c>
      <c r="C108" s="31">
        <f>CHOOSE(Plan!$K$5,'Calc Smart'!AE114,'Calc Avalanche'!AE114,'Calc Snowball'!AE114,'Calc Cashflow'!AE114)</f>
        <v/>
      </c>
      <c r="D108" s="31">
        <f>CHOOSE(Plan!$K$5,'Calc Smart'!AD114,'Calc Avalanche'!AD114,'Calc Snowball'!AD114,'Calc Cashflow'!AD114)</f>
        <v/>
      </c>
      <c r="E108" s="40">
        <f>CHOOSE(Plan!$K$5,COUNTIF('Calc Smart'!C114:N114,"&gt;0"),COUNTIF('Calc Avalanche'!C114:N114,"&gt;0"),COUNTIF('Calc Snowball'!C114:N114,"&gt;0"),COUNTIF('Calc Cashflow'!C114:N114,"&gt;0"))</f>
        <v/>
      </c>
      <c r="F108" s="65">
        <f>CHOOSE(Plan!$K$5,'Calc Smart'!C114,'Calc Avalanche'!C114,'Calc Snowball'!C114,'Calc Cashflow'!C114)</f>
        <v/>
      </c>
      <c r="G108" s="65">
        <f>CHOOSE(Plan!$K$5,'Calc Smart'!D114,'Calc Avalanche'!D114,'Calc Snowball'!D114,'Calc Cashflow'!D114)</f>
        <v/>
      </c>
      <c r="H108" s="65">
        <f>CHOOSE(Plan!$K$5,'Calc Smart'!E114,'Calc Avalanche'!E114,'Calc Snowball'!E114,'Calc Cashflow'!E114)</f>
        <v/>
      </c>
      <c r="I108" s="65">
        <f>CHOOSE(Plan!$K$5,'Calc Smart'!F114,'Calc Avalanche'!F114,'Calc Snowball'!F114,'Calc Cashflow'!F114)</f>
        <v/>
      </c>
      <c r="J108" s="65">
        <f>CHOOSE(Plan!$K$5,'Calc Smart'!G114,'Calc Avalanche'!G114,'Calc Snowball'!G114,'Calc Cashflow'!G114)</f>
        <v/>
      </c>
      <c r="K108" s="65">
        <f>CHOOSE(Plan!$K$5,'Calc Smart'!H114,'Calc Avalanche'!H114,'Calc Snowball'!H114,'Calc Cashflow'!H114)</f>
        <v/>
      </c>
      <c r="L108" s="65">
        <f>CHOOSE(Plan!$K$5,'Calc Smart'!I114,'Calc Avalanche'!I114,'Calc Snowball'!I114,'Calc Cashflow'!I114)</f>
        <v/>
      </c>
      <c r="M108" s="65">
        <f>CHOOSE(Plan!$K$5,'Calc Smart'!J114,'Calc Avalanche'!J114,'Calc Snowball'!J114,'Calc Cashflow'!J114)</f>
        <v/>
      </c>
      <c r="N108" s="65">
        <f>CHOOSE(Plan!$K$5,'Calc Smart'!K114,'Calc Avalanche'!K114,'Calc Snowball'!K114,'Calc Cashflow'!K114)</f>
        <v/>
      </c>
      <c r="O108" s="65">
        <f>CHOOSE(Plan!$K$5,'Calc Smart'!L114,'Calc Avalanche'!L114,'Calc Snowball'!L114,'Calc Cashflow'!L114)</f>
        <v/>
      </c>
      <c r="P108" s="65">
        <f>CHOOSE(Plan!$K$5,'Calc Smart'!M114,'Calc Avalanche'!M114,'Calc Snowball'!M114,'Calc Cashflow'!M114)</f>
        <v/>
      </c>
      <c r="Q108" s="65">
        <f>CHOOSE(Plan!$K$5,'Calc Smart'!N114,'Calc Avalanche'!N114,'Calc Snowball'!N114,'Calc Cashflow'!N114)</f>
        <v/>
      </c>
    </row>
    <row r="109">
      <c r="B109" s="66">
        <f>EDATE(Plan!$C$6,103)</f>
        <v/>
      </c>
      <c r="C109" s="32">
        <f>CHOOSE(Plan!$K$5,'Calc Smart'!AE115,'Calc Avalanche'!AE115,'Calc Snowball'!AE115,'Calc Cashflow'!AE115)</f>
        <v/>
      </c>
      <c r="D109" s="32">
        <f>CHOOSE(Plan!$K$5,'Calc Smart'!AD115,'Calc Avalanche'!AD115,'Calc Snowball'!AD115,'Calc Cashflow'!AD115)</f>
        <v/>
      </c>
      <c r="E109" s="43">
        <f>CHOOSE(Plan!$K$5,COUNTIF('Calc Smart'!C115:N115,"&gt;0"),COUNTIF('Calc Avalanche'!C115:N115,"&gt;0"),COUNTIF('Calc Snowball'!C115:N115,"&gt;0"),COUNTIF('Calc Cashflow'!C115:N115,"&gt;0"))</f>
        <v/>
      </c>
      <c r="F109" s="67">
        <f>CHOOSE(Plan!$K$5,'Calc Smart'!C115,'Calc Avalanche'!C115,'Calc Snowball'!C115,'Calc Cashflow'!C115)</f>
        <v/>
      </c>
      <c r="G109" s="67">
        <f>CHOOSE(Plan!$K$5,'Calc Smart'!D115,'Calc Avalanche'!D115,'Calc Snowball'!D115,'Calc Cashflow'!D115)</f>
        <v/>
      </c>
      <c r="H109" s="67">
        <f>CHOOSE(Plan!$K$5,'Calc Smart'!E115,'Calc Avalanche'!E115,'Calc Snowball'!E115,'Calc Cashflow'!E115)</f>
        <v/>
      </c>
      <c r="I109" s="67">
        <f>CHOOSE(Plan!$K$5,'Calc Smart'!F115,'Calc Avalanche'!F115,'Calc Snowball'!F115,'Calc Cashflow'!F115)</f>
        <v/>
      </c>
      <c r="J109" s="67">
        <f>CHOOSE(Plan!$K$5,'Calc Smart'!G115,'Calc Avalanche'!G115,'Calc Snowball'!G115,'Calc Cashflow'!G115)</f>
        <v/>
      </c>
      <c r="K109" s="67">
        <f>CHOOSE(Plan!$K$5,'Calc Smart'!H115,'Calc Avalanche'!H115,'Calc Snowball'!H115,'Calc Cashflow'!H115)</f>
        <v/>
      </c>
      <c r="L109" s="67">
        <f>CHOOSE(Plan!$K$5,'Calc Smart'!I115,'Calc Avalanche'!I115,'Calc Snowball'!I115,'Calc Cashflow'!I115)</f>
        <v/>
      </c>
      <c r="M109" s="67">
        <f>CHOOSE(Plan!$K$5,'Calc Smart'!J115,'Calc Avalanche'!J115,'Calc Snowball'!J115,'Calc Cashflow'!J115)</f>
        <v/>
      </c>
      <c r="N109" s="67">
        <f>CHOOSE(Plan!$K$5,'Calc Smart'!K115,'Calc Avalanche'!K115,'Calc Snowball'!K115,'Calc Cashflow'!K115)</f>
        <v/>
      </c>
      <c r="O109" s="67">
        <f>CHOOSE(Plan!$K$5,'Calc Smart'!L115,'Calc Avalanche'!L115,'Calc Snowball'!L115,'Calc Cashflow'!L115)</f>
        <v/>
      </c>
      <c r="P109" s="67">
        <f>CHOOSE(Plan!$K$5,'Calc Smart'!M115,'Calc Avalanche'!M115,'Calc Snowball'!M115,'Calc Cashflow'!M115)</f>
        <v/>
      </c>
      <c r="Q109" s="67">
        <f>CHOOSE(Plan!$K$5,'Calc Smart'!N115,'Calc Avalanche'!N115,'Calc Snowball'!N115,'Calc Cashflow'!N115)</f>
        <v/>
      </c>
    </row>
    <row r="110">
      <c r="B110" s="64">
        <f>EDATE(Plan!$C$6,104)</f>
        <v/>
      </c>
      <c r="C110" s="31">
        <f>CHOOSE(Plan!$K$5,'Calc Smart'!AE116,'Calc Avalanche'!AE116,'Calc Snowball'!AE116,'Calc Cashflow'!AE116)</f>
        <v/>
      </c>
      <c r="D110" s="31">
        <f>CHOOSE(Plan!$K$5,'Calc Smart'!AD116,'Calc Avalanche'!AD116,'Calc Snowball'!AD116,'Calc Cashflow'!AD116)</f>
        <v/>
      </c>
      <c r="E110" s="40">
        <f>CHOOSE(Plan!$K$5,COUNTIF('Calc Smart'!C116:N116,"&gt;0"),COUNTIF('Calc Avalanche'!C116:N116,"&gt;0"),COUNTIF('Calc Snowball'!C116:N116,"&gt;0"),COUNTIF('Calc Cashflow'!C116:N116,"&gt;0"))</f>
        <v/>
      </c>
      <c r="F110" s="65">
        <f>CHOOSE(Plan!$K$5,'Calc Smart'!C116,'Calc Avalanche'!C116,'Calc Snowball'!C116,'Calc Cashflow'!C116)</f>
        <v/>
      </c>
      <c r="G110" s="65">
        <f>CHOOSE(Plan!$K$5,'Calc Smart'!D116,'Calc Avalanche'!D116,'Calc Snowball'!D116,'Calc Cashflow'!D116)</f>
        <v/>
      </c>
      <c r="H110" s="65">
        <f>CHOOSE(Plan!$K$5,'Calc Smart'!E116,'Calc Avalanche'!E116,'Calc Snowball'!E116,'Calc Cashflow'!E116)</f>
        <v/>
      </c>
      <c r="I110" s="65">
        <f>CHOOSE(Plan!$K$5,'Calc Smart'!F116,'Calc Avalanche'!F116,'Calc Snowball'!F116,'Calc Cashflow'!F116)</f>
        <v/>
      </c>
      <c r="J110" s="65">
        <f>CHOOSE(Plan!$K$5,'Calc Smart'!G116,'Calc Avalanche'!G116,'Calc Snowball'!G116,'Calc Cashflow'!G116)</f>
        <v/>
      </c>
      <c r="K110" s="65">
        <f>CHOOSE(Plan!$K$5,'Calc Smart'!H116,'Calc Avalanche'!H116,'Calc Snowball'!H116,'Calc Cashflow'!H116)</f>
        <v/>
      </c>
      <c r="L110" s="65">
        <f>CHOOSE(Plan!$K$5,'Calc Smart'!I116,'Calc Avalanche'!I116,'Calc Snowball'!I116,'Calc Cashflow'!I116)</f>
        <v/>
      </c>
      <c r="M110" s="65">
        <f>CHOOSE(Plan!$K$5,'Calc Smart'!J116,'Calc Avalanche'!J116,'Calc Snowball'!J116,'Calc Cashflow'!J116)</f>
        <v/>
      </c>
      <c r="N110" s="65">
        <f>CHOOSE(Plan!$K$5,'Calc Smart'!K116,'Calc Avalanche'!K116,'Calc Snowball'!K116,'Calc Cashflow'!K116)</f>
        <v/>
      </c>
      <c r="O110" s="65">
        <f>CHOOSE(Plan!$K$5,'Calc Smart'!L116,'Calc Avalanche'!L116,'Calc Snowball'!L116,'Calc Cashflow'!L116)</f>
        <v/>
      </c>
      <c r="P110" s="65">
        <f>CHOOSE(Plan!$K$5,'Calc Smart'!M116,'Calc Avalanche'!M116,'Calc Snowball'!M116,'Calc Cashflow'!M116)</f>
        <v/>
      </c>
      <c r="Q110" s="65">
        <f>CHOOSE(Plan!$K$5,'Calc Smart'!N116,'Calc Avalanche'!N116,'Calc Snowball'!N116,'Calc Cashflow'!N116)</f>
        <v/>
      </c>
    </row>
    <row r="111">
      <c r="B111" s="66">
        <f>EDATE(Plan!$C$6,105)</f>
        <v/>
      </c>
      <c r="C111" s="32">
        <f>CHOOSE(Plan!$K$5,'Calc Smart'!AE117,'Calc Avalanche'!AE117,'Calc Snowball'!AE117,'Calc Cashflow'!AE117)</f>
        <v/>
      </c>
      <c r="D111" s="32">
        <f>CHOOSE(Plan!$K$5,'Calc Smart'!AD117,'Calc Avalanche'!AD117,'Calc Snowball'!AD117,'Calc Cashflow'!AD117)</f>
        <v/>
      </c>
      <c r="E111" s="43">
        <f>CHOOSE(Plan!$K$5,COUNTIF('Calc Smart'!C117:N117,"&gt;0"),COUNTIF('Calc Avalanche'!C117:N117,"&gt;0"),COUNTIF('Calc Snowball'!C117:N117,"&gt;0"),COUNTIF('Calc Cashflow'!C117:N117,"&gt;0"))</f>
        <v/>
      </c>
      <c r="F111" s="67">
        <f>CHOOSE(Plan!$K$5,'Calc Smart'!C117,'Calc Avalanche'!C117,'Calc Snowball'!C117,'Calc Cashflow'!C117)</f>
        <v/>
      </c>
      <c r="G111" s="67">
        <f>CHOOSE(Plan!$K$5,'Calc Smart'!D117,'Calc Avalanche'!D117,'Calc Snowball'!D117,'Calc Cashflow'!D117)</f>
        <v/>
      </c>
      <c r="H111" s="67">
        <f>CHOOSE(Plan!$K$5,'Calc Smart'!E117,'Calc Avalanche'!E117,'Calc Snowball'!E117,'Calc Cashflow'!E117)</f>
        <v/>
      </c>
      <c r="I111" s="67">
        <f>CHOOSE(Plan!$K$5,'Calc Smart'!F117,'Calc Avalanche'!F117,'Calc Snowball'!F117,'Calc Cashflow'!F117)</f>
        <v/>
      </c>
      <c r="J111" s="67">
        <f>CHOOSE(Plan!$K$5,'Calc Smart'!G117,'Calc Avalanche'!G117,'Calc Snowball'!G117,'Calc Cashflow'!G117)</f>
        <v/>
      </c>
      <c r="K111" s="67">
        <f>CHOOSE(Plan!$K$5,'Calc Smart'!H117,'Calc Avalanche'!H117,'Calc Snowball'!H117,'Calc Cashflow'!H117)</f>
        <v/>
      </c>
      <c r="L111" s="67">
        <f>CHOOSE(Plan!$K$5,'Calc Smart'!I117,'Calc Avalanche'!I117,'Calc Snowball'!I117,'Calc Cashflow'!I117)</f>
        <v/>
      </c>
      <c r="M111" s="67">
        <f>CHOOSE(Plan!$K$5,'Calc Smart'!J117,'Calc Avalanche'!J117,'Calc Snowball'!J117,'Calc Cashflow'!J117)</f>
        <v/>
      </c>
      <c r="N111" s="67">
        <f>CHOOSE(Plan!$K$5,'Calc Smart'!K117,'Calc Avalanche'!K117,'Calc Snowball'!K117,'Calc Cashflow'!K117)</f>
        <v/>
      </c>
      <c r="O111" s="67">
        <f>CHOOSE(Plan!$K$5,'Calc Smart'!L117,'Calc Avalanche'!L117,'Calc Snowball'!L117,'Calc Cashflow'!L117)</f>
        <v/>
      </c>
      <c r="P111" s="67">
        <f>CHOOSE(Plan!$K$5,'Calc Smart'!M117,'Calc Avalanche'!M117,'Calc Snowball'!M117,'Calc Cashflow'!M117)</f>
        <v/>
      </c>
      <c r="Q111" s="67">
        <f>CHOOSE(Plan!$K$5,'Calc Smart'!N117,'Calc Avalanche'!N117,'Calc Snowball'!N117,'Calc Cashflow'!N117)</f>
        <v/>
      </c>
    </row>
    <row r="112">
      <c r="B112" s="64">
        <f>EDATE(Plan!$C$6,106)</f>
        <v/>
      </c>
      <c r="C112" s="31">
        <f>CHOOSE(Plan!$K$5,'Calc Smart'!AE118,'Calc Avalanche'!AE118,'Calc Snowball'!AE118,'Calc Cashflow'!AE118)</f>
        <v/>
      </c>
      <c r="D112" s="31">
        <f>CHOOSE(Plan!$K$5,'Calc Smart'!AD118,'Calc Avalanche'!AD118,'Calc Snowball'!AD118,'Calc Cashflow'!AD118)</f>
        <v/>
      </c>
      <c r="E112" s="40">
        <f>CHOOSE(Plan!$K$5,COUNTIF('Calc Smart'!C118:N118,"&gt;0"),COUNTIF('Calc Avalanche'!C118:N118,"&gt;0"),COUNTIF('Calc Snowball'!C118:N118,"&gt;0"),COUNTIF('Calc Cashflow'!C118:N118,"&gt;0"))</f>
        <v/>
      </c>
      <c r="F112" s="65">
        <f>CHOOSE(Plan!$K$5,'Calc Smart'!C118,'Calc Avalanche'!C118,'Calc Snowball'!C118,'Calc Cashflow'!C118)</f>
        <v/>
      </c>
      <c r="G112" s="65">
        <f>CHOOSE(Plan!$K$5,'Calc Smart'!D118,'Calc Avalanche'!D118,'Calc Snowball'!D118,'Calc Cashflow'!D118)</f>
        <v/>
      </c>
      <c r="H112" s="65">
        <f>CHOOSE(Plan!$K$5,'Calc Smart'!E118,'Calc Avalanche'!E118,'Calc Snowball'!E118,'Calc Cashflow'!E118)</f>
        <v/>
      </c>
      <c r="I112" s="65">
        <f>CHOOSE(Plan!$K$5,'Calc Smart'!F118,'Calc Avalanche'!F118,'Calc Snowball'!F118,'Calc Cashflow'!F118)</f>
        <v/>
      </c>
      <c r="J112" s="65">
        <f>CHOOSE(Plan!$K$5,'Calc Smart'!G118,'Calc Avalanche'!G118,'Calc Snowball'!G118,'Calc Cashflow'!G118)</f>
        <v/>
      </c>
      <c r="K112" s="65">
        <f>CHOOSE(Plan!$K$5,'Calc Smart'!H118,'Calc Avalanche'!H118,'Calc Snowball'!H118,'Calc Cashflow'!H118)</f>
        <v/>
      </c>
      <c r="L112" s="65">
        <f>CHOOSE(Plan!$K$5,'Calc Smart'!I118,'Calc Avalanche'!I118,'Calc Snowball'!I118,'Calc Cashflow'!I118)</f>
        <v/>
      </c>
      <c r="M112" s="65">
        <f>CHOOSE(Plan!$K$5,'Calc Smart'!J118,'Calc Avalanche'!J118,'Calc Snowball'!J118,'Calc Cashflow'!J118)</f>
        <v/>
      </c>
      <c r="N112" s="65">
        <f>CHOOSE(Plan!$K$5,'Calc Smart'!K118,'Calc Avalanche'!K118,'Calc Snowball'!K118,'Calc Cashflow'!K118)</f>
        <v/>
      </c>
      <c r="O112" s="65">
        <f>CHOOSE(Plan!$K$5,'Calc Smart'!L118,'Calc Avalanche'!L118,'Calc Snowball'!L118,'Calc Cashflow'!L118)</f>
        <v/>
      </c>
      <c r="P112" s="65">
        <f>CHOOSE(Plan!$K$5,'Calc Smart'!M118,'Calc Avalanche'!M118,'Calc Snowball'!M118,'Calc Cashflow'!M118)</f>
        <v/>
      </c>
      <c r="Q112" s="65">
        <f>CHOOSE(Plan!$K$5,'Calc Smart'!N118,'Calc Avalanche'!N118,'Calc Snowball'!N118,'Calc Cashflow'!N118)</f>
        <v/>
      </c>
    </row>
    <row r="113">
      <c r="B113" s="66">
        <f>EDATE(Plan!$C$6,107)</f>
        <v/>
      </c>
      <c r="C113" s="32">
        <f>CHOOSE(Plan!$K$5,'Calc Smart'!AE119,'Calc Avalanche'!AE119,'Calc Snowball'!AE119,'Calc Cashflow'!AE119)</f>
        <v/>
      </c>
      <c r="D113" s="32">
        <f>CHOOSE(Plan!$K$5,'Calc Smart'!AD119,'Calc Avalanche'!AD119,'Calc Snowball'!AD119,'Calc Cashflow'!AD119)</f>
        <v/>
      </c>
      <c r="E113" s="43">
        <f>CHOOSE(Plan!$K$5,COUNTIF('Calc Smart'!C119:N119,"&gt;0"),COUNTIF('Calc Avalanche'!C119:N119,"&gt;0"),COUNTIF('Calc Snowball'!C119:N119,"&gt;0"),COUNTIF('Calc Cashflow'!C119:N119,"&gt;0"))</f>
        <v/>
      </c>
      <c r="F113" s="67">
        <f>CHOOSE(Plan!$K$5,'Calc Smart'!C119,'Calc Avalanche'!C119,'Calc Snowball'!C119,'Calc Cashflow'!C119)</f>
        <v/>
      </c>
      <c r="G113" s="67">
        <f>CHOOSE(Plan!$K$5,'Calc Smart'!D119,'Calc Avalanche'!D119,'Calc Snowball'!D119,'Calc Cashflow'!D119)</f>
        <v/>
      </c>
      <c r="H113" s="67">
        <f>CHOOSE(Plan!$K$5,'Calc Smart'!E119,'Calc Avalanche'!E119,'Calc Snowball'!E119,'Calc Cashflow'!E119)</f>
        <v/>
      </c>
      <c r="I113" s="67">
        <f>CHOOSE(Plan!$K$5,'Calc Smart'!F119,'Calc Avalanche'!F119,'Calc Snowball'!F119,'Calc Cashflow'!F119)</f>
        <v/>
      </c>
      <c r="J113" s="67">
        <f>CHOOSE(Plan!$K$5,'Calc Smart'!G119,'Calc Avalanche'!G119,'Calc Snowball'!G119,'Calc Cashflow'!G119)</f>
        <v/>
      </c>
      <c r="K113" s="67">
        <f>CHOOSE(Plan!$K$5,'Calc Smart'!H119,'Calc Avalanche'!H119,'Calc Snowball'!H119,'Calc Cashflow'!H119)</f>
        <v/>
      </c>
      <c r="L113" s="67">
        <f>CHOOSE(Plan!$K$5,'Calc Smart'!I119,'Calc Avalanche'!I119,'Calc Snowball'!I119,'Calc Cashflow'!I119)</f>
        <v/>
      </c>
      <c r="M113" s="67">
        <f>CHOOSE(Plan!$K$5,'Calc Smart'!J119,'Calc Avalanche'!J119,'Calc Snowball'!J119,'Calc Cashflow'!J119)</f>
        <v/>
      </c>
      <c r="N113" s="67">
        <f>CHOOSE(Plan!$K$5,'Calc Smart'!K119,'Calc Avalanche'!K119,'Calc Snowball'!K119,'Calc Cashflow'!K119)</f>
        <v/>
      </c>
      <c r="O113" s="67">
        <f>CHOOSE(Plan!$K$5,'Calc Smart'!L119,'Calc Avalanche'!L119,'Calc Snowball'!L119,'Calc Cashflow'!L119)</f>
        <v/>
      </c>
      <c r="P113" s="67">
        <f>CHOOSE(Plan!$K$5,'Calc Smart'!M119,'Calc Avalanche'!M119,'Calc Snowball'!M119,'Calc Cashflow'!M119)</f>
        <v/>
      </c>
      <c r="Q113" s="67">
        <f>CHOOSE(Plan!$K$5,'Calc Smart'!N119,'Calc Avalanche'!N119,'Calc Snowball'!N119,'Calc Cashflow'!N119)</f>
        <v/>
      </c>
    </row>
    <row r="114">
      <c r="B114" s="64">
        <f>EDATE(Plan!$C$6,108)</f>
        <v/>
      </c>
      <c r="C114" s="31">
        <f>CHOOSE(Plan!$K$5,'Calc Smart'!AE120,'Calc Avalanche'!AE120,'Calc Snowball'!AE120,'Calc Cashflow'!AE120)</f>
        <v/>
      </c>
      <c r="D114" s="31">
        <f>CHOOSE(Plan!$K$5,'Calc Smart'!AD120,'Calc Avalanche'!AD120,'Calc Snowball'!AD120,'Calc Cashflow'!AD120)</f>
        <v/>
      </c>
      <c r="E114" s="40">
        <f>CHOOSE(Plan!$K$5,COUNTIF('Calc Smart'!C120:N120,"&gt;0"),COUNTIF('Calc Avalanche'!C120:N120,"&gt;0"),COUNTIF('Calc Snowball'!C120:N120,"&gt;0"),COUNTIF('Calc Cashflow'!C120:N120,"&gt;0"))</f>
        <v/>
      </c>
      <c r="F114" s="65">
        <f>CHOOSE(Plan!$K$5,'Calc Smart'!C120,'Calc Avalanche'!C120,'Calc Snowball'!C120,'Calc Cashflow'!C120)</f>
        <v/>
      </c>
      <c r="G114" s="65">
        <f>CHOOSE(Plan!$K$5,'Calc Smart'!D120,'Calc Avalanche'!D120,'Calc Snowball'!D120,'Calc Cashflow'!D120)</f>
        <v/>
      </c>
      <c r="H114" s="65">
        <f>CHOOSE(Plan!$K$5,'Calc Smart'!E120,'Calc Avalanche'!E120,'Calc Snowball'!E120,'Calc Cashflow'!E120)</f>
        <v/>
      </c>
      <c r="I114" s="65">
        <f>CHOOSE(Plan!$K$5,'Calc Smart'!F120,'Calc Avalanche'!F120,'Calc Snowball'!F120,'Calc Cashflow'!F120)</f>
        <v/>
      </c>
      <c r="J114" s="65">
        <f>CHOOSE(Plan!$K$5,'Calc Smart'!G120,'Calc Avalanche'!G120,'Calc Snowball'!G120,'Calc Cashflow'!G120)</f>
        <v/>
      </c>
      <c r="K114" s="65">
        <f>CHOOSE(Plan!$K$5,'Calc Smart'!H120,'Calc Avalanche'!H120,'Calc Snowball'!H120,'Calc Cashflow'!H120)</f>
        <v/>
      </c>
      <c r="L114" s="65">
        <f>CHOOSE(Plan!$K$5,'Calc Smart'!I120,'Calc Avalanche'!I120,'Calc Snowball'!I120,'Calc Cashflow'!I120)</f>
        <v/>
      </c>
      <c r="M114" s="65">
        <f>CHOOSE(Plan!$K$5,'Calc Smart'!J120,'Calc Avalanche'!J120,'Calc Snowball'!J120,'Calc Cashflow'!J120)</f>
        <v/>
      </c>
      <c r="N114" s="65">
        <f>CHOOSE(Plan!$K$5,'Calc Smart'!K120,'Calc Avalanche'!K120,'Calc Snowball'!K120,'Calc Cashflow'!K120)</f>
        <v/>
      </c>
      <c r="O114" s="65">
        <f>CHOOSE(Plan!$K$5,'Calc Smart'!L120,'Calc Avalanche'!L120,'Calc Snowball'!L120,'Calc Cashflow'!L120)</f>
        <v/>
      </c>
      <c r="P114" s="65">
        <f>CHOOSE(Plan!$K$5,'Calc Smart'!M120,'Calc Avalanche'!M120,'Calc Snowball'!M120,'Calc Cashflow'!M120)</f>
        <v/>
      </c>
      <c r="Q114" s="65">
        <f>CHOOSE(Plan!$K$5,'Calc Smart'!N120,'Calc Avalanche'!N120,'Calc Snowball'!N120,'Calc Cashflow'!N120)</f>
        <v/>
      </c>
    </row>
    <row r="115">
      <c r="B115" s="66">
        <f>EDATE(Plan!$C$6,109)</f>
        <v/>
      </c>
      <c r="C115" s="32">
        <f>CHOOSE(Plan!$K$5,'Calc Smart'!AE121,'Calc Avalanche'!AE121,'Calc Snowball'!AE121,'Calc Cashflow'!AE121)</f>
        <v/>
      </c>
      <c r="D115" s="32">
        <f>CHOOSE(Plan!$K$5,'Calc Smart'!AD121,'Calc Avalanche'!AD121,'Calc Snowball'!AD121,'Calc Cashflow'!AD121)</f>
        <v/>
      </c>
      <c r="E115" s="43">
        <f>CHOOSE(Plan!$K$5,COUNTIF('Calc Smart'!C121:N121,"&gt;0"),COUNTIF('Calc Avalanche'!C121:N121,"&gt;0"),COUNTIF('Calc Snowball'!C121:N121,"&gt;0"),COUNTIF('Calc Cashflow'!C121:N121,"&gt;0"))</f>
        <v/>
      </c>
      <c r="F115" s="67">
        <f>CHOOSE(Plan!$K$5,'Calc Smart'!C121,'Calc Avalanche'!C121,'Calc Snowball'!C121,'Calc Cashflow'!C121)</f>
        <v/>
      </c>
      <c r="G115" s="67">
        <f>CHOOSE(Plan!$K$5,'Calc Smart'!D121,'Calc Avalanche'!D121,'Calc Snowball'!D121,'Calc Cashflow'!D121)</f>
        <v/>
      </c>
      <c r="H115" s="67">
        <f>CHOOSE(Plan!$K$5,'Calc Smart'!E121,'Calc Avalanche'!E121,'Calc Snowball'!E121,'Calc Cashflow'!E121)</f>
        <v/>
      </c>
      <c r="I115" s="67">
        <f>CHOOSE(Plan!$K$5,'Calc Smart'!F121,'Calc Avalanche'!F121,'Calc Snowball'!F121,'Calc Cashflow'!F121)</f>
        <v/>
      </c>
      <c r="J115" s="67">
        <f>CHOOSE(Plan!$K$5,'Calc Smart'!G121,'Calc Avalanche'!G121,'Calc Snowball'!G121,'Calc Cashflow'!G121)</f>
        <v/>
      </c>
      <c r="K115" s="67">
        <f>CHOOSE(Plan!$K$5,'Calc Smart'!H121,'Calc Avalanche'!H121,'Calc Snowball'!H121,'Calc Cashflow'!H121)</f>
        <v/>
      </c>
      <c r="L115" s="67">
        <f>CHOOSE(Plan!$K$5,'Calc Smart'!I121,'Calc Avalanche'!I121,'Calc Snowball'!I121,'Calc Cashflow'!I121)</f>
        <v/>
      </c>
      <c r="M115" s="67">
        <f>CHOOSE(Plan!$K$5,'Calc Smart'!J121,'Calc Avalanche'!J121,'Calc Snowball'!J121,'Calc Cashflow'!J121)</f>
        <v/>
      </c>
      <c r="N115" s="67">
        <f>CHOOSE(Plan!$K$5,'Calc Smart'!K121,'Calc Avalanche'!K121,'Calc Snowball'!K121,'Calc Cashflow'!K121)</f>
        <v/>
      </c>
      <c r="O115" s="67">
        <f>CHOOSE(Plan!$K$5,'Calc Smart'!L121,'Calc Avalanche'!L121,'Calc Snowball'!L121,'Calc Cashflow'!L121)</f>
        <v/>
      </c>
      <c r="P115" s="67">
        <f>CHOOSE(Plan!$K$5,'Calc Smart'!M121,'Calc Avalanche'!M121,'Calc Snowball'!M121,'Calc Cashflow'!M121)</f>
        <v/>
      </c>
      <c r="Q115" s="67">
        <f>CHOOSE(Plan!$K$5,'Calc Smart'!N121,'Calc Avalanche'!N121,'Calc Snowball'!N121,'Calc Cashflow'!N121)</f>
        <v/>
      </c>
    </row>
    <row r="116">
      <c r="B116" s="64">
        <f>EDATE(Plan!$C$6,110)</f>
        <v/>
      </c>
      <c r="C116" s="31">
        <f>CHOOSE(Plan!$K$5,'Calc Smart'!AE122,'Calc Avalanche'!AE122,'Calc Snowball'!AE122,'Calc Cashflow'!AE122)</f>
        <v/>
      </c>
      <c r="D116" s="31">
        <f>CHOOSE(Plan!$K$5,'Calc Smart'!AD122,'Calc Avalanche'!AD122,'Calc Snowball'!AD122,'Calc Cashflow'!AD122)</f>
        <v/>
      </c>
      <c r="E116" s="40">
        <f>CHOOSE(Plan!$K$5,COUNTIF('Calc Smart'!C122:N122,"&gt;0"),COUNTIF('Calc Avalanche'!C122:N122,"&gt;0"),COUNTIF('Calc Snowball'!C122:N122,"&gt;0"),COUNTIF('Calc Cashflow'!C122:N122,"&gt;0"))</f>
        <v/>
      </c>
      <c r="F116" s="65">
        <f>CHOOSE(Plan!$K$5,'Calc Smart'!C122,'Calc Avalanche'!C122,'Calc Snowball'!C122,'Calc Cashflow'!C122)</f>
        <v/>
      </c>
      <c r="G116" s="65">
        <f>CHOOSE(Plan!$K$5,'Calc Smart'!D122,'Calc Avalanche'!D122,'Calc Snowball'!D122,'Calc Cashflow'!D122)</f>
        <v/>
      </c>
      <c r="H116" s="65">
        <f>CHOOSE(Plan!$K$5,'Calc Smart'!E122,'Calc Avalanche'!E122,'Calc Snowball'!E122,'Calc Cashflow'!E122)</f>
        <v/>
      </c>
      <c r="I116" s="65">
        <f>CHOOSE(Plan!$K$5,'Calc Smart'!F122,'Calc Avalanche'!F122,'Calc Snowball'!F122,'Calc Cashflow'!F122)</f>
        <v/>
      </c>
      <c r="J116" s="65">
        <f>CHOOSE(Plan!$K$5,'Calc Smart'!G122,'Calc Avalanche'!G122,'Calc Snowball'!G122,'Calc Cashflow'!G122)</f>
        <v/>
      </c>
      <c r="K116" s="65">
        <f>CHOOSE(Plan!$K$5,'Calc Smart'!H122,'Calc Avalanche'!H122,'Calc Snowball'!H122,'Calc Cashflow'!H122)</f>
        <v/>
      </c>
      <c r="L116" s="65">
        <f>CHOOSE(Plan!$K$5,'Calc Smart'!I122,'Calc Avalanche'!I122,'Calc Snowball'!I122,'Calc Cashflow'!I122)</f>
        <v/>
      </c>
      <c r="M116" s="65">
        <f>CHOOSE(Plan!$K$5,'Calc Smart'!J122,'Calc Avalanche'!J122,'Calc Snowball'!J122,'Calc Cashflow'!J122)</f>
        <v/>
      </c>
      <c r="N116" s="65">
        <f>CHOOSE(Plan!$K$5,'Calc Smart'!K122,'Calc Avalanche'!K122,'Calc Snowball'!K122,'Calc Cashflow'!K122)</f>
        <v/>
      </c>
      <c r="O116" s="65">
        <f>CHOOSE(Plan!$K$5,'Calc Smart'!L122,'Calc Avalanche'!L122,'Calc Snowball'!L122,'Calc Cashflow'!L122)</f>
        <v/>
      </c>
      <c r="P116" s="65">
        <f>CHOOSE(Plan!$K$5,'Calc Smart'!M122,'Calc Avalanche'!M122,'Calc Snowball'!M122,'Calc Cashflow'!M122)</f>
        <v/>
      </c>
      <c r="Q116" s="65">
        <f>CHOOSE(Plan!$K$5,'Calc Smart'!N122,'Calc Avalanche'!N122,'Calc Snowball'!N122,'Calc Cashflow'!N122)</f>
        <v/>
      </c>
    </row>
    <row r="117">
      <c r="B117" s="66">
        <f>EDATE(Plan!$C$6,111)</f>
        <v/>
      </c>
      <c r="C117" s="32">
        <f>CHOOSE(Plan!$K$5,'Calc Smart'!AE123,'Calc Avalanche'!AE123,'Calc Snowball'!AE123,'Calc Cashflow'!AE123)</f>
        <v/>
      </c>
      <c r="D117" s="32">
        <f>CHOOSE(Plan!$K$5,'Calc Smart'!AD123,'Calc Avalanche'!AD123,'Calc Snowball'!AD123,'Calc Cashflow'!AD123)</f>
        <v/>
      </c>
      <c r="E117" s="43">
        <f>CHOOSE(Plan!$K$5,COUNTIF('Calc Smart'!C123:N123,"&gt;0"),COUNTIF('Calc Avalanche'!C123:N123,"&gt;0"),COUNTIF('Calc Snowball'!C123:N123,"&gt;0"),COUNTIF('Calc Cashflow'!C123:N123,"&gt;0"))</f>
        <v/>
      </c>
      <c r="F117" s="67">
        <f>CHOOSE(Plan!$K$5,'Calc Smart'!C123,'Calc Avalanche'!C123,'Calc Snowball'!C123,'Calc Cashflow'!C123)</f>
        <v/>
      </c>
      <c r="G117" s="67">
        <f>CHOOSE(Plan!$K$5,'Calc Smart'!D123,'Calc Avalanche'!D123,'Calc Snowball'!D123,'Calc Cashflow'!D123)</f>
        <v/>
      </c>
      <c r="H117" s="67">
        <f>CHOOSE(Plan!$K$5,'Calc Smart'!E123,'Calc Avalanche'!E123,'Calc Snowball'!E123,'Calc Cashflow'!E123)</f>
        <v/>
      </c>
      <c r="I117" s="67">
        <f>CHOOSE(Plan!$K$5,'Calc Smart'!F123,'Calc Avalanche'!F123,'Calc Snowball'!F123,'Calc Cashflow'!F123)</f>
        <v/>
      </c>
      <c r="J117" s="67">
        <f>CHOOSE(Plan!$K$5,'Calc Smart'!G123,'Calc Avalanche'!G123,'Calc Snowball'!G123,'Calc Cashflow'!G123)</f>
        <v/>
      </c>
      <c r="K117" s="67">
        <f>CHOOSE(Plan!$K$5,'Calc Smart'!H123,'Calc Avalanche'!H123,'Calc Snowball'!H123,'Calc Cashflow'!H123)</f>
        <v/>
      </c>
      <c r="L117" s="67">
        <f>CHOOSE(Plan!$K$5,'Calc Smart'!I123,'Calc Avalanche'!I123,'Calc Snowball'!I123,'Calc Cashflow'!I123)</f>
        <v/>
      </c>
      <c r="M117" s="67">
        <f>CHOOSE(Plan!$K$5,'Calc Smart'!J123,'Calc Avalanche'!J123,'Calc Snowball'!J123,'Calc Cashflow'!J123)</f>
        <v/>
      </c>
      <c r="N117" s="67">
        <f>CHOOSE(Plan!$K$5,'Calc Smart'!K123,'Calc Avalanche'!K123,'Calc Snowball'!K123,'Calc Cashflow'!K123)</f>
        <v/>
      </c>
      <c r="O117" s="67">
        <f>CHOOSE(Plan!$K$5,'Calc Smart'!L123,'Calc Avalanche'!L123,'Calc Snowball'!L123,'Calc Cashflow'!L123)</f>
        <v/>
      </c>
      <c r="P117" s="67">
        <f>CHOOSE(Plan!$K$5,'Calc Smart'!M123,'Calc Avalanche'!M123,'Calc Snowball'!M123,'Calc Cashflow'!M123)</f>
        <v/>
      </c>
      <c r="Q117" s="67">
        <f>CHOOSE(Plan!$K$5,'Calc Smart'!N123,'Calc Avalanche'!N123,'Calc Snowball'!N123,'Calc Cashflow'!N123)</f>
        <v/>
      </c>
    </row>
    <row r="118">
      <c r="B118" s="64">
        <f>EDATE(Plan!$C$6,112)</f>
        <v/>
      </c>
      <c r="C118" s="31">
        <f>CHOOSE(Plan!$K$5,'Calc Smart'!AE124,'Calc Avalanche'!AE124,'Calc Snowball'!AE124,'Calc Cashflow'!AE124)</f>
        <v/>
      </c>
      <c r="D118" s="31">
        <f>CHOOSE(Plan!$K$5,'Calc Smart'!AD124,'Calc Avalanche'!AD124,'Calc Snowball'!AD124,'Calc Cashflow'!AD124)</f>
        <v/>
      </c>
      <c r="E118" s="40">
        <f>CHOOSE(Plan!$K$5,COUNTIF('Calc Smart'!C124:N124,"&gt;0"),COUNTIF('Calc Avalanche'!C124:N124,"&gt;0"),COUNTIF('Calc Snowball'!C124:N124,"&gt;0"),COUNTIF('Calc Cashflow'!C124:N124,"&gt;0"))</f>
        <v/>
      </c>
      <c r="F118" s="65">
        <f>CHOOSE(Plan!$K$5,'Calc Smart'!C124,'Calc Avalanche'!C124,'Calc Snowball'!C124,'Calc Cashflow'!C124)</f>
        <v/>
      </c>
      <c r="G118" s="65">
        <f>CHOOSE(Plan!$K$5,'Calc Smart'!D124,'Calc Avalanche'!D124,'Calc Snowball'!D124,'Calc Cashflow'!D124)</f>
        <v/>
      </c>
      <c r="H118" s="65">
        <f>CHOOSE(Plan!$K$5,'Calc Smart'!E124,'Calc Avalanche'!E124,'Calc Snowball'!E124,'Calc Cashflow'!E124)</f>
        <v/>
      </c>
      <c r="I118" s="65">
        <f>CHOOSE(Plan!$K$5,'Calc Smart'!F124,'Calc Avalanche'!F124,'Calc Snowball'!F124,'Calc Cashflow'!F124)</f>
        <v/>
      </c>
      <c r="J118" s="65">
        <f>CHOOSE(Plan!$K$5,'Calc Smart'!G124,'Calc Avalanche'!G124,'Calc Snowball'!G124,'Calc Cashflow'!G124)</f>
        <v/>
      </c>
      <c r="K118" s="65">
        <f>CHOOSE(Plan!$K$5,'Calc Smart'!H124,'Calc Avalanche'!H124,'Calc Snowball'!H124,'Calc Cashflow'!H124)</f>
        <v/>
      </c>
      <c r="L118" s="65">
        <f>CHOOSE(Plan!$K$5,'Calc Smart'!I124,'Calc Avalanche'!I124,'Calc Snowball'!I124,'Calc Cashflow'!I124)</f>
        <v/>
      </c>
      <c r="M118" s="65">
        <f>CHOOSE(Plan!$K$5,'Calc Smart'!J124,'Calc Avalanche'!J124,'Calc Snowball'!J124,'Calc Cashflow'!J124)</f>
        <v/>
      </c>
      <c r="N118" s="65">
        <f>CHOOSE(Plan!$K$5,'Calc Smart'!K124,'Calc Avalanche'!K124,'Calc Snowball'!K124,'Calc Cashflow'!K124)</f>
        <v/>
      </c>
      <c r="O118" s="65">
        <f>CHOOSE(Plan!$K$5,'Calc Smart'!L124,'Calc Avalanche'!L124,'Calc Snowball'!L124,'Calc Cashflow'!L124)</f>
        <v/>
      </c>
      <c r="P118" s="65">
        <f>CHOOSE(Plan!$K$5,'Calc Smart'!M124,'Calc Avalanche'!M124,'Calc Snowball'!M124,'Calc Cashflow'!M124)</f>
        <v/>
      </c>
      <c r="Q118" s="65">
        <f>CHOOSE(Plan!$K$5,'Calc Smart'!N124,'Calc Avalanche'!N124,'Calc Snowball'!N124,'Calc Cashflow'!N124)</f>
        <v/>
      </c>
    </row>
    <row r="119">
      <c r="B119" s="66">
        <f>EDATE(Plan!$C$6,113)</f>
        <v/>
      </c>
      <c r="C119" s="32">
        <f>CHOOSE(Plan!$K$5,'Calc Smart'!AE125,'Calc Avalanche'!AE125,'Calc Snowball'!AE125,'Calc Cashflow'!AE125)</f>
        <v/>
      </c>
      <c r="D119" s="32">
        <f>CHOOSE(Plan!$K$5,'Calc Smart'!AD125,'Calc Avalanche'!AD125,'Calc Snowball'!AD125,'Calc Cashflow'!AD125)</f>
        <v/>
      </c>
      <c r="E119" s="43">
        <f>CHOOSE(Plan!$K$5,COUNTIF('Calc Smart'!C125:N125,"&gt;0"),COUNTIF('Calc Avalanche'!C125:N125,"&gt;0"),COUNTIF('Calc Snowball'!C125:N125,"&gt;0"),COUNTIF('Calc Cashflow'!C125:N125,"&gt;0"))</f>
        <v/>
      </c>
      <c r="F119" s="67">
        <f>CHOOSE(Plan!$K$5,'Calc Smart'!C125,'Calc Avalanche'!C125,'Calc Snowball'!C125,'Calc Cashflow'!C125)</f>
        <v/>
      </c>
      <c r="G119" s="67">
        <f>CHOOSE(Plan!$K$5,'Calc Smart'!D125,'Calc Avalanche'!D125,'Calc Snowball'!D125,'Calc Cashflow'!D125)</f>
        <v/>
      </c>
      <c r="H119" s="67">
        <f>CHOOSE(Plan!$K$5,'Calc Smart'!E125,'Calc Avalanche'!E125,'Calc Snowball'!E125,'Calc Cashflow'!E125)</f>
        <v/>
      </c>
      <c r="I119" s="67">
        <f>CHOOSE(Plan!$K$5,'Calc Smart'!F125,'Calc Avalanche'!F125,'Calc Snowball'!F125,'Calc Cashflow'!F125)</f>
        <v/>
      </c>
      <c r="J119" s="67">
        <f>CHOOSE(Plan!$K$5,'Calc Smart'!G125,'Calc Avalanche'!G125,'Calc Snowball'!G125,'Calc Cashflow'!G125)</f>
        <v/>
      </c>
      <c r="K119" s="67">
        <f>CHOOSE(Plan!$K$5,'Calc Smart'!H125,'Calc Avalanche'!H125,'Calc Snowball'!H125,'Calc Cashflow'!H125)</f>
        <v/>
      </c>
      <c r="L119" s="67">
        <f>CHOOSE(Plan!$K$5,'Calc Smart'!I125,'Calc Avalanche'!I125,'Calc Snowball'!I125,'Calc Cashflow'!I125)</f>
        <v/>
      </c>
      <c r="M119" s="67">
        <f>CHOOSE(Plan!$K$5,'Calc Smart'!J125,'Calc Avalanche'!J125,'Calc Snowball'!J125,'Calc Cashflow'!J125)</f>
        <v/>
      </c>
      <c r="N119" s="67">
        <f>CHOOSE(Plan!$K$5,'Calc Smart'!K125,'Calc Avalanche'!K125,'Calc Snowball'!K125,'Calc Cashflow'!K125)</f>
        <v/>
      </c>
      <c r="O119" s="67">
        <f>CHOOSE(Plan!$K$5,'Calc Smart'!L125,'Calc Avalanche'!L125,'Calc Snowball'!L125,'Calc Cashflow'!L125)</f>
        <v/>
      </c>
      <c r="P119" s="67">
        <f>CHOOSE(Plan!$K$5,'Calc Smart'!M125,'Calc Avalanche'!M125,'Calc Snowball'!M125,'Calc Cashflow'!M125)</f>
        <v/>
      </c>
      <c r="Q119" s="67">
        <f>CHOOSE(Plan!$K$5,'Calc Smart'!N125,'Calc Avalanche'!N125,'Calc Snowball'!N125,'Calc Cashflow'!N125)</f>
        <v/>
      </c>
    </row>
    <row r="120">
      <c r="B120" s="64">
        <f>EDATE(Plan!$C$6,114)</f>
        <v/>
      </c>
      <c r="C120" s="31">
        <f>CHOOSE(Plan!$K$5,'Calc Smart'!AE126,'Calc Avalanche'!AE126,'Calc Snowball'!AE126,'Calc Cashflow'!AE126)</f>
        <v/>
      </c>
      <c r="D120" s="31">
        <f>CHOOSE(Plan!$K$5,'Calc Smart'!AD126,'Calc Avalanche'!AD126,'Calc Snowball'!AD126,'Calc Cashflow'!AD126)</f>
        <v/>
      </c>
      <c r="E120" s="40">
        <f>CHOOSE(Plan!$K$5,COUNTIF('Calc Smart'!C126:N126,"&gt;0"),COUNTIF('Calc Avalanche'!C126:N126,"&gt;0"),COUNTIF('Calc Snowball'!C126:N126,"&gt;0"),COUNTIF('Calc Cashflow'!C126:N126,"&gt;0"))</f>
        <v/>
      </c>
      <c r="F120" s="65">
        <f>CHOOSE(Plan!$K$5,'Calc Smart'!C126,'Calc Avalanche'!C126,'Calc Snowball'!C126,'Calc Cashflow'!C126)</f>
        <v/>
      </c>
      <c r="G120" s="65">
        <f>CHOOSE(Plan!$K$5,'Calc Smart'!D126,'Calc Avalanche'!D126,'Calc Snowball'!D126,'Calc Cashflow'!D126)</f>
        <v/>
      </c>
      <c r="H120" s="65">
        <f>CHOOSE(Plan!$K$5,'Calc Smart'!E126,'Calc Avalanche'!E126,'Calc Snowball'!E126,'Calc Cashflow'!E126)</f>
        <v/>
      </c>
      <c r="I120" s="65">
        <f>CHOOSE(Plan!$K$5,'Calc Smart'!F126,'Calc Avalanche'!F126,'Calc Snowball'!F126,'Calc Cashflow'!F126)</f>
        <v/>
      </c>
      <c r="J120" s="65">
        <f>CHOOSE(Plan!$K$5,'Calc Smart'!G126,'Calc Avalanche'!G126,'Calc Snowball'!G126,'Calc Cashflow'!G126)</f>
        <v/>
      </c>
      <c r="K120" s="65">
        <f>CHOOSE(Plan!$K$5,'Calc Smart'!H126,'Calc Avalanche'!H126,'Calc Snowball'!H126,'Calc Cashflow'!H126)</f>
        <v/>
      </c>
      <c r="L120" s="65">
        <f>CHOOSE(Plan!$K$5,'Calc Smart'!I126,'Calc Avalanche'!I126,'Calc Snowball'!I126,'Calc Cashflow'!I126)</f>
        <v/>
      </c>
      <c r="M120" s="65">
        <f>CHOOSE(Plan!$K$5,'Calc Smart'!J126,'Calc Avalanche'!J126,'Calc Snowball'!J126,'Calc Cashflow'!J126)</f>
        <v/>
      </c>
      <c r="N120" s="65">
        <f>CHOOSE(Plan!$K$5,'Calc Smart'!K126,'Calc Avalanche'!K126,'Calc Snowball'!K126,'Calc Cashflow'!K126)</f>
        <v/>
      </c>
      <c r="O120" s="65">
        <f>CHOOSE(Plan!$K$5,'Calc Smart'!L126,'Calc Avalanche'!L126,'Calc Snowball'!L126,'Calc Cashflow'!L126)</f>
        <v/>
      </c>
      <c r="P120" s="65">
        <f>CHOOSE(Plan!$K$5,'Calc Smart'!M126,'Calc Avalanche'!M126,'Calc Snowball'!M126,'Calc Cashflow'!M126)</f>
        <v/>
      </c>
      <c r="Q120" s="65">
        <f>CHOOSE(Plan!$K$5,'Calc Smart'!N126,'Calc Avalanche'!N126,'Calc Snowball'!N126,'Calc Cashflow'!N126)</f>
        <v/>
      </c>
    </row>
    <row r="121">
      <c r="B121" s="66">
        <f>EDATE(Plan!$C$6,115)</f>
        <v/>
      </c>
      <c r="C121" s="32">
        <f>CHOOSE(Plan!$K$5,'Calc Smart'!AE127,'Calc Avalanche'!AE127,'Calc Snowball'!AE127,'Calc Cashflow'!AE127)</f>
        <v/>
      </c>
      <c r="D121" s="32">
        <f>CHOOSE(Plan!$K$5,'Calc Smart'!AD127,'Calc Avalanche'!AD127,'Calc Snowball'!AD127,'Calc Cashflow'!AD127)</f>
        <v/>
      </c>
      <c r="E121" s="43">
        <f>CHOOSE(Plan!$K$5,COUNTIF('Calc Smart'!C127:N127,"&gt;0"),COUNTIF('Calc Avalanche'!C127:N127,"&gt;0"),COUNTIF('Calc Snowball'!C127:N127,"&gt;0"),COUNTIF('Calc Cashflow'!C127:N127,"&gt;0"))</f>
        <v/>
      </c>
      <c r="F121" s="67">
        <f>CHOOSE(Plan!$K$5,'Calc Smart'!C127,'Calc Avalanche'!C127,'Calc Snowball'!C127,'Calc Cashflow'!C127)</f>
        <v/>
      </c>
      <c r="G121" s="67">
        <f>CHOOSE(Plan!$K$5,'Calc Smart'!D127,'Calc Avalanche'!D127,'Calc Snowball'!D127,'Calc Cashflow'!D127)</f>
        <v/>
      </c>
      <c r="H121" s="67">
        <f>CHOOSE(Plan!$K$5,'Calc Smart'!E127,'Calc Avalanche'!E127,'Calc Snowball'!E127,'Calc Cashflow'!E127)</f>
        <v/>
      </c>
      <c r="I121" s="67">
        <f>CHOOSE(Plan!$K$5,'Calc Smart'!F127,'Calc Avalanche'!F127,'Calc Snowball'!F127,'Calc Cashflow'!F127)</f>
        <v/>
      </c>
      <c r="J121" s="67">
        <f>CHOOSE(Plan!$K$5,'Calc Smart'!G127,'Calc Avalanche'!G127,'Calc Snowball'!G127,'Calc Cashflow'!G127)</f>
        <v/>
      </c>
      <c r="K121" s="67">
        <f>CHOOSE(Plan!$K$5,'Calc Smart'!H127,'Calc Avalanche'!H127,'Calc Snowball'!H127,'Calc Cashflow'!H127)</f>
        <v/>
      </c>
      <c r="L121" s="67">
        <f>CHOOSE(Plan!$K$5,'Calc Smart'!I127,'Calc Avalanche'!I127,'Calc Snowball'!I127,'Calc Cashflow'!I127)</f>
        <v/>
      </c>
      <c r="M121" s="67">
        <f>CHOOSE(Plan!$K$5,'Calc Smart'!J127,'Calc Avalanche'!J127,'Calc Snowball'!J127,'Calc Cashflow'!J127)</f>
        <v/>
      </c>
      <c r="N121" s="67">
        <f>CHOOSE(Plan!$K$5,'Calc Smart'!K127,'Calc Avalanche'!K127,'Calc Snowball'!K127,'Calc Cashflow'!K127)</f>
        <v/>
      </c>
      <c r="O121" s="67">
        <f>CHOOSE(Plan!$K$5,'Calc Smart'!L127,'Calc Avalanche'!L127,'Calc Snowball'!L127,'Calc Cashflow'!L127)</f>
        <v/>
      </c>
      <c r="P121" s="67">
        <f>CHOOSE(Plan!$K$5,'Calc Smart'!M127,'Calc Avalanche'!M127,'Calc Snowball'!M127,'Calc Cashflow'!M127)</f>
        <v/>
      </c>
      <c r="Q121" s="67">
        <f>CHOOSE(Plan!$K$5,'Calc Smart'!N127,'Calc Avalanche'!N127,'Calc Snowball'!N127,'Calc Cashflow'!N127)</f>
        <v/>
      </c>
    </row>
    <row r="122">
      <c r="B122" s="64">
        <f>EDATE(Plan!$C$6,116)</f>
        <v/>
      </c>
      <c r="C122" s="31">
        <f>CHOOSE(Plan!$K$5,'Calc Smart'!AE128,'Calc Avalanche'!AE128,'Calc Snowball'!AE128,'Calc Cashflow'!AE128)</f>
        <v/>
      </c>
      <c r="D122" s="31">
        <f>CHOOSE(Plan!$K$5,'Calc Smart'!AD128,'Calc Avalanche'!AD128,'Calc Snowball'!AD128,'Calc Cashflow'!AD128)</f>
        <v/>
      </c>
      <c r="E122" s="40">
        <f>CHOOSE(Plan!$K$5,COUNTIF('Calc Smart'!C128:N128,"&gt;0"),COUNTIF('Calc Avalanche'!C128:N128,"&gt;0"),COUNTIF('Calc Snowball'!C128:N128,"&gt;0"),COUNTIF('Calc Cashflow'!C128:N128,"&gt;0"))</f>
        <v/>
      </c>
      <c r="F122" s="65">
        <f>CHOOSE(Plan!$K$5,'Calc Smart'!C128,'Calc Avalanche'!C128,'Calc Snowball'!C128,'Calc Cashflow'!C128)</f>
        <v/>
      </c>
      <c r="G122" s="65">
        <f>CHOOSE(Plan!$K$5,'Calc Smart'!D128,'Calc Avalanche'!D128,'Calc Snowball'!D128,'Calc Cashflow'!D128)</f>
        <v/>
      </c>
      <c r="H122" s="65">
        <f>CHOOSE(Plan!$K$5,'Calc Smart'!E128,'Calc Avalanche'!E128,'Calc Snowball'!E128,'Calc Cashflow'!E128)</f>
        <v/>
      </c>
      <c r="I122" s="65">
        <f>CHOOSE(Plan!$K$5,'Calc Smart'!F128,'Calc Avalanche'!F128,'Calc Snowball'!F128,'Calc Cashflow'!F128)</f>
        <v/>
      </c>
      <c r="J122" s="65">
        <f>CHOOSE(Plan!$K$5,'Calc Smart'!G128,'Calc Avalanche'!G128,'Calc Snowball'!G128,'Calc Cashflow'!G128)</f>
        <v/>
      </c>
      <c r="K122" s="65">
        <f>CHOOSE(Plan!$K$5,'Calc Smart'!H128,'Calc Avalanche'!H128,'Calc Snowball'!H128,'Calc Cashflow'!H128)</f>
        <v/>
      </c>
      <c r="L122" s="65">
        <f>CHOOSE(Plan!$K$5,'Calc Smart'!I128,'Calc Avalanche'!I128,'Calc Snowball'!I128,'Calc Cashflow'!I128)</f>
        <v/>
      </c>
      <c r="M122" s="65">
        <f>CHOOSE(Plan!$K$5,'Calc Smart'!J128,'Calc Avalanche'!J128,'Calc Snowball'!J128,'Calc Cashflow'!J128)</f>
        <v/>
      </c>
      <c r="N122" s="65">
        <f>CHOOSE(Plan!$K$5,'Calc Smart'!K128,'Calc Avalanche'!K128,'Calc Snowball'!K128,'Calc Cashflow'!K128)</f>
        <v/>
      </c>
      <c r="O122" s="65">
        <f>CHOOSE(Plan!$K$5,'Calc Smart'!L128,'Calc Avalanche'!L128,'Calc Snowball'!L128,'Calc Cashflow'!L128)</f>
        <v/>
      </c>
      <c r="P122" s="65">
        <f>CHOOSE(Plan!$K$5,'Calc Smart'!M128,'Calc Avalanche'!M128,'Calc Snowball'!M128,'Calc Cashflow'!M128)</f>
        <v/>
      </c>
      <c r="Q122" s="65">
        <f>CHOOSE(Plan!$K$5,'Calc Smart'!N128,'Calc Avalanche'!N128,'Calc Snowball'!N128,'Calc Cashflow'!N128)</f>
        <v/>
      </c>
    </row>
    <row r="123">
      <c r="B123" s="66">
        <f>EDATE(Plan!$C$6,117)</f>
        <v/>
      </c>
      <c r="C123" s="32">
        <f>CHOOSE(Plan!$K$5,'Calc Smart'!AE129,'Calc Avalanche'!AE129,'Calc Snowball'!AE129,'Calc Cashflow'!AE129)</f>
        <v/>
      </c>
      <c r="D123" s="32">
        <f>CHOOSE(Plan!$K$5,'Calc Smart'!AD129,'Calc Avalanche'!AD129,'Calc Snowball'!AD129,'Calc Cashflow'!AD129)</f>
        <v/>
      </c>
      <c r="E123" s="43">
        <f>CHOOSE(Plan!$K$5,COUNTIF('Calc Smart'!C129:N129,"&gt;0"),COUNTIF('Calc Avalanche'!C129:N129,"&gt;0"),COUNTIF('Calc Snowball'!C129:N129,"&gt;0"),COUNTIF('Calc Cashflow'!C129:N129,"&gt;0"))</f>
        <v/>
      </c>
      <c r="F123" s="67">
        <f>CHOOSE(Plan!$K$5,'Calc Smart'!C129,'Calc Avalanche'!C129,'Calc Snowball'!C129,'Calc Cashflow'!C129)</f>
        <v/>
      </c>
      <c r="G123" s="67">
        <f>CHOOSE(Plan!$K$5,'Calc Smart'!D129,'Calc Avalanche'!D129,'Calc Snowball'!D129,'Calc Cashflow'!D129)</f>
        <v/>
      </c>
      <c r="H123" s="67">
        <f>CHOOSE(Plan!$K$5,'Calc Smart'!E129,'Calc Avalanche'!E129,'Calc Snowball'!E129,'Calc Cashflow'!E129)</f>
        <v/>
      </c>
      <c r="I123" s="67">
        <f>CHOOSE(Plan!$K$5,'Calc Smart'!F129,'Calc Avalanche'!F129,'Calc Snowball'!F129,'Calc Cashflow'!F129)</f>
        <v/>
      </c>
      <c r="J123" s="67">
        <f>CHOOSE(Plan!$K$5,'Calc Smart'!G129,'Calc Avalanche'!G129,'Calc Snowball'!G129,'Calc Cashflow'!G129)</f>
        <v/>
      </c>
      <c r="K123" s="67">
        <f>CHOOSE(Plan!$K$5,'Calc Smart'!H129,'Calc Avalanche'!H129,'Calc Snowball'!H129,'Calc Cashflow'!H129)</f>
        <v/>
      </c>
      <c r="L123" s="67">
        <f>CHOOSE(Plan!$K$5,'Calc Smart'!I129,'Calc Avalanche'!I129,'Calc Snowball'!I129,'Calc Cashflow'!I129)</f>
        <v/>
      </c>
      <c r="M123" s="67">
        <f>CHOOSE(Plan!$K$5,'Calc Smart'!J129,'Calc Avalanche'!J129,'Calc Snowball'!J129,'Calc Cashflow'!J129)</f>
        <v/>
      </c>
      <c r="N123" s="67">
        <f>CHOOSE(Plan!$K$5,'Calc Smart'!K129,'Calc Avalanche'!K129,'Calc Snowball'!K129,'Calc Cashflow'!K129)</f>
        <v/>
      </c>
      <c r="O123" s="67">
        <f>CHOOSE(Plan!$K$5,'Calc Smart'!L129,'Calc Avalanche'!L129,'Calc Snowball'!L129,'Calc Cashflow'!L129)</f>
        <v/>
      </c>
      <c r="P123" s="67">
        <f>CHOOSE(Plan!$K$5,'Calc Smart'!M129,'Calc Avalanche'!M129,'Calc Snowball'!M129,'Calc Cashflow'!M129)</f>
        <v/>
      </c>
      <c r="Q123" s="67">
        <f>CHOOSE(Plan!$K$5,'Calc Smart'!N129,'Calc Avalanche'!N129,'Calc Snowball'!N129,'Calc Cashflow'!N129)</f>
        <v/>
      </c>
    </row>
    <row r="124">
      <c r="B124" s="64">
        <f>EDATE(Plan!$C$6,118)</f>
        <v/>
      </c>
      <c r="C124" s="31">
        <f>CHOOSE(Plan!$K$5,'Calc Smart'!AE130,'Calc Avalanche'!AE130,'Calc Snowball'!AE130,'Calc Cashflow'!AE130)</f>
        <v/>
      </c>
      <c r="D124" s="31">
        <f>CHOOSE(Plan!$K$5,'Calc Smart'!AD130,'Calc Avalanche'!AD130,'Calc Snowball'!AD130,'Calc Cashflow'!AD130)</f>
        <v/>
      </c>
      <c r="E124" s="40">
        <f>CHOOSE(Plan!$K$5,COUNTIF('Calc Smart'!C130:N130,"&gt;0"),COUNTIF('Calc Avalanche'!C130:N130,"&gt;0"),COUNTIF('Calc Snowball'!C130:N130,"&gt;0"),COUNTIF('Calc Cashflow'!C130:N130,"&gt;0"))</f>
        <v/>
      </c>
      <c r="F124" s="65">
        <f>CHOOSE(Plan!$K$5,'Calc Smart'!C130,'Calc Avalanche'!C130,'Calc Snowball'!C130,'Calc Cashflow'!C130)</f>
        <v/>
      </c>
      <c r="G124" s="65">
        <f>CHOOSE(Plan!$K$5,'Calc Smart'!D130,'Calc Avalanche'!D130,'Calc Snowball'!D130,'Calc Cashflow'!D130)</f>
        <v/>
      </c>
      <c r="H124" s="65">
        <f>CHOOSE(Plan!$K$5,'Calc Smart'!E130,'Calc Avalanche'!E130,'Calc Snowball'!E130,'Calc Cashflow'!E130)</f>
        <v/>
      </c>
      <c r="I124" s="65">
        <f>CHOOSE(Plan!$K$5,'Calc Smart'!F130,'Calc Avalanche'!F130,'Calc Snowball'!F130,'Calc Cashflow'!F130)</f>
        <v/>
      </c>
      <c r="J124" s="65">
        <f>CHOOSE(Plan!$K$5,'Calc Smart'!G130,'Calc Avalanche'!G130,'Calc Snowball'!G130,'Calc Cashflow'!G130)</f>
        <v/>
      </c>
      <c r="K124" s="65">
        <f>CHOOSE(Plan!$K$5,'Calc Smart'!H130,'Calc Avalanche'!H130,'Calc Snowball'!H130,'Calc Cashflow'!H130)</f>
        <v/>
      </c>
      <c r="L124" s="65">
        <f>CHOOSE(Plan!$K$5,'Calc Smart'!I130,'Calc Avalanche'!I130,'Calc Snowball'!I130,'Calc Cashflow'!I130)</f>
        <v/>
      </c>
      <c r="M124" s="65">
        <f>CHOOSE(Plan!$K$5,'Calc Smart'!J130,'Calc Avalanche'!J130,'Calc Snowball'!J130,'Calc Cashflow'!J130)</f>
        <v/>
      </c>
      <c r="N124" s="65">
        <f>CHOOSE(Plan!$K$5,'Calc Smart'!K130,'Calc Avalanche'!K130,'Calc Snowball'!K130,'Calc Cashflow'!K130)</f>
        <v/>
      </c>
      <c r="O124" s="65">
        <f>CHOOSE(Plan!$K$5,'Calc Smart'!L130,'Calc Avalanche'!L130,'Calc Snowball'!L130,'Calc Cashflow'!L130)</f>
        <v/>
      </c>
      <c r="P124" s="65">
        <f>CHOOSE(Plan!$K$5,'Calc Smart'!M130,'Calc Avalanche'!M130,'Calc Snowball'!M130,'Calc Cashflow'!M130)</f>
        <v/>
      </c>
      <c r="Q124" s="65">
        <f>CHOOSE(Plan!$K$5,'Calc Smart'!N130,'Calc Avalanche'!N130,'Calc Snowball'!N130,'Calc Cashflow'!N130)</f>
        <v/>
      </c>
    </row>
    <row r="125">
      <c r="B125" s="66">
        <f>EDATE(Plan!$C$6,119)</f>
        <v/>
      </c>
      <c r="C125" s="32">
        <f>CHOOSE(Plan!$K$5,'Calc Smart'!AE131,'Calc Avalanche'!AE131,'Calc Snowball'!AE131,'Calc Cashflow'!AE131)</f>
        <v/>
      </c>
      <c r="D125" s="32">
        <f>CHOOSE(Plan!$K$5,'Calc Smart'!AD131,'Calc Avalanche'!AD131,'Calc Snowball'!AD131,'Calc Cashflow'!AD131)</f>
        <v/>
      </c>
      <c r="E125" s="43">
        <f>CHOOSE(Plan!$K$5,COUNTIF('Calc Smart'!C131:N131,"&gt;0"),COUNTIF('Calc Avalanche'!C131:N131,"&gt;0"),COUNTIF('Calc Snowball'!C131:N131,"&gt;0"),COUNTIF('Calc Cashflow'!C131:N131,"&gt;0"))</f>
        <v/>
      </c>
      <c r="F125" s="67">
        <f>CHOOSE(Plan!$K$5,'Calc Smart'!C131,'Calc Avalanche'!C131,'Calc Snowball'!C131,'Calc Cashflow'!C131)</f>
        <v/>
      </c>
      <c r="G125" s="67">
        <f>CHOOSE(Plan!$K$5,'Calc Smart'!D131,'Calc Avalanche'!D131,'Calc Snowball'!D131,'Calc Cashflow'!D131)</f>
        <v/>
      </c>
      <c r="H125" s="67">
        <f>CHOOSE(Plan!$K$5,'Calc Smart'!E131,'Calc Avalanche'!E131,'Calc Snowball'!E131,'Calc Cashflow'!E131)</f>
        <v/>
      </c>
      <c r="I125" s="67">
        <f>CHOOSE(Plan!$K$5,'Calc Smart'!F131,'Calc Avalanche'!F131,'Calc Snowball'!F131,'Calc Cashflow'!F131)</f>
        <v/>
      </c>
      <c r="J125" s="67">
        <f>CHOOSE(Plan!$K$5,'Calc Smart'!G131,'Calc Avalanche'!G131,'Calc Snowball'!G131,'Calc Cashflow'!G131)</f>
        <v/>
      </c>
      <c r="K125" s="67">
        <f>CHOOSE(Plan!$K$5,'Calc Smart'!H131,'Calc Avalanche'!H131,'Calc Snowball'!H131,'Calc Cashflow'!H131)</f>
        <v/>
      </c>
      <c r="L125" s="67">
        <f>CHOOSE(Plan!$K$5,'Calc Smart'!I131,'Calc Avalanche'!I131,'Calc Snowball'!I131,'Calc Cashflow'!I131)</f>
        <v/>
      </c>
      <c r="M125" s="67">
        <f>CHOOSE(Plan!$K$5,'Calc Smart'!J131,'Calc Avalanche'!J131,'Calc Snowball'!J131,'Calc Cashflow'!J131)</f>
        <v/>
      </c>
      <c r="N125" s="67">
        <f>CHOOSE(Plan!$K$5,'Calc Smart'!K131,'Calc Avalanche'!K131,'Calc Snowball'!K131,'Calc Cashflow'!K131)</f>
        <v/>
      </c>
      <c r="O125" s="67">
        <f>CHOOSE(Plan!$K$5,'Calc Smart'!L131,'Calc Avalanche'!L131,'Calc Snowball'!L131,'Calc Cashflow'!L131)</f>
        <v/>
      </c>
      <c r="P125" s="67">
        <f>CHOOSE(Plan!$K$5,'Calc Smart'!M131,'Calc Avalanche'!M131,'Calc Snowball'!M131,'Calc Cashflow'!M131)</f>
        <v/>
      </c>
      <c r="Q125" s="67">
        <f>CHOOSE(Plan!$K$5,'Calc Smart'!N131,'Calc Avalanche'!N131,'Calc Snowball'!N131,'Calc Cashflow'!N131)</f>
        <v/>
      </c>
    </row>
    <row r="126">
      <c r="B126" s="64">
        <f>EDATE(Plan!$C$6,120)</f>
        <v/>
      </c>
      <c r="C126" s="31">
        <f>CHOOSE(Plan!$K$5,'Calc Smart'!AE132,'Calc Avalanche'!AE132,'Calc Snowball'!AE132,'Calc Cashflow'!AE132)</f>
        <v/>
      </c>
      <c r="D126" s="31">
        <f>CHOOSE(Plan!$K$5,'Calc Smart'!AD132,'Calc Avalanche'!AD132,'Calc Snowball'!AD132,'Calc Cashflow'!AD132)</f>
        <v/>
      </c>
      <c r="E126" s="40">
        <f>CHOOSE(Plan!$K$5,COUNTIF('Calc Smart'!C132:N132,"&gt;0"),COUNTIF('Calc Avalanche'!C132:N132,"&gt;0"),COUNTIF('Calc Snowball'!C132:N132,"&gt;0"),COUNTIF('Calc Cashflow'!C132:N132,"&gt;0"))</f>
        <v/>
      </c>
      <c r="F126" s="65">
        <f>CHOOSE(Plan!$K$5,'Calc Smart'!C132,'Calc Avalanche'!C132,'Calc Snowball'!C132,'Calc Cashflow'!C132)</f>
        <v/>
      </c>
      <c r="G126" s="65">
        <f>CHOOSE(Plan!$K$5,'Calc Smart'!D132,'Calc Avalanche'!D132,'Calc Snowball'!D132,'Calc Cashflow'!D132)</f>
        <v/>
      </c>
      <c r="H126" s="65">
        <f>CHOOSE(Plan!$K$5,'Calc Smart'!E132,'Calc Avalanche'!E132,'Calc Snowball'!E132,'Calc Cashflow'!E132)</f>
        <v/>
      </c>
      <c r="I126" s="65">
        <f>CHOOSE(Plan!$K$5,'Calc Smart'!F132,'Calc Avalanche'!F132,'Calc Snowball'!F132,'Calc Cashflow'!F132)</f>
        <v/>
      </c>
      <c r="J126" s="65">
        <f>CHOOSE(Plan!$K$5,'Calc Smart'!G132,'Calc Avalanche'!G132,'Calc Snowball'!G132,'Calc Cashflow'!G132)</f>
        <v/>
      </c>
      <c r="K126" s="65">
        <f>CHOOSE(Plan!$K$5,'Calc Smart'!H132,'Calc Avalanche'!H132,'Calc Snowball'!H132,'Calc Cashflow'!H132)</f>
        <v/>
      </c>
      <c r="L126" s="65">
        <f>CHOOSE(Plan!$K$5,'Calc Smart'!I132,'Calc Avalanche'!I132,'Calc Snowball'!I132,'Calc Cashflow'!I132)</f>
        <v/>
      </c>
      <c r="M126" s="65">
        <f>CHOOSE(Plan!$K$5,'Calc Smart'!J132,'Calc Avalanche'!J132,'Calc Snowball'!J132,'Calc Cashflow'!J132)</f>
        <v/>
      </c>
      <c r="N126" s="65">
        <f>CHOOSE(Plan!$K$5,'Calc Smart'!K132,'Calc Avalanche'!K132,'Calc Snowball'!K132,'Calc Cashflow'!K132)</f>
        <v/>
      </c>
      <c r="O126" s="65">
        <f>CHOOSE(Plan!$K$5,'Calc Smart'!L132,'Calc Avalanche'!L132,'Calc Snowball'!L132,'Calc Cashflow'!L132)</f>
        <v/>
      </c>
      <c r="P126" s="65">
        <f>CHOOSE(Plan!$K$5,'Calc Smart'!M132,'Calc Avalanche'!M132,'Calc Snowball'!M132,'Calc Cashflow'!M132)</f>
        <v/>
      </c>
      <c r="Q126" s="65">
        <f>CHOOSE(Plan!$K$5,'Calc Smart'!N132,'Calc Avalanche'!N132,'Calc Snowball'!N132,'Calc Cashflow'!N132)</f>
        <v/>
      </c>
    </row>
    <row r="127">
      <c r="B127" s="66">
        <f>EDATE(Plan!$C$6,121)</f>
        <v/>
      </c>
      <c r="C127" s="32">
        <f>CHOOSE(Plan!$K$5,'Calc Smart'!AE133,'Calc Avalanche'!AE133,'Calc Snowball'!AE133,'Calc Cashflow'!AE133)</f>
        <v/>
      </c>
      <c r="D127" s="32">
        <f>CHOOSE(Plan!$K$5,'Calc Smart'!AD133,'Calc Avalanche'!AD133,'Calc Snowball'!AD133,'Calc Cashflow'!AD133)</f>
        <v/>
      </c>
      <c r="E127" s="43">
        <f>CHOOSE(Plan!$K$5,COUNTIF('Calc Smart'!C133:N133,"&gt;0"),COUNTIF('Calc Avalanche'!C133:N133,"&gt;0"),COUNTIF('Calc Snowball'!C133:N133,"&gt;0"),COUNTIF('Calc Cashflow'!C133:N133,"&gt;0"))</f>
        <v/>
      </c>
      <c r="F127" s="67">
        <f>CHOOSE(Plan!$K$5,'Calc Smart'!C133,'Calc Avalanche'!C133,'Calc Snowball'!C133,'Calc Cashflow'!C133)</f>
        <v/>
      </c>
      <c r="G127" s="67">
        <f>CHOOSE(Plan!$K$5,'Calc Smart'!D133,'Calc Avalanche'!D133,'Calc Snowball'!D133,'Calc Cashflow'!D133)</f>
        <v/>
      </c>
      <c r="H127" s="67">
        <f>CHOOSE(Plan!$K$5,'Calc Smart'!E133,'Calc Avalanche'!E133,'Calc Snowball'!E133,'Calc Cashflow'!E133)</f>
        <v/>
      </c>
      <c r="I127" s="67">
        <f>CHOOSE(Plan!$K$5,'Calc Smart'!F133,'Calc Avalanche'!F133,'Calc Snowball'!F133,'Calc Cashflow'!F133)</f>
        <v/>
      </c>
      <c r="J127" s="67">
        <f>CHOOSE(Plan!$K$5,'Calc Smart'!G133,'Calc Avalanche'!G133,'Calc Snowball'!G133,'Calc Cashflow'!G133)</f>
        <v/>
      </c>
      <c r="K127" s="67">
        <f>CHOOSE(Plan!$K$5,'Calc Smart'!H133,'Calc Avalanche'!H133,'Calc Snowball'!H133,'Calc Cashflow'!H133)</f>
        <v/>
      </c>
      <c r="L127" s="67">
        <f>CHOOSE(Plan!$K$5,'Calc Smart'!I133,'Calc Avalanche'!I133,'Calc Snowball'!I133,'Calc Cashflow'!I133)</f>
        <v/>
      </c>
      <c r="M127" s="67">
        <f>CHOOSE(Plan!$K$5,'Calc Smart'!J133,'Calc Avalanche'!J133,'Calc Snowball'!J133,'Calc Cashflow'!J133)</f>
        <v/>
      </c>
      <c r="N127" s="67">
        <f>CHOOSE(Plan!$K$5,'Calc Smart'!K133,'Calc Avalanche'!K133,'Calc Snowball'!K133,'Calc Cashflow'!K133)</f>
        <v/>
      </c>
      <c r="O127" s="67">
        <f>CHOOSE(Plan!$K$5,'Calc Smart'!L133,'Calc Avalanche'!L133,'Calc Snowball'!L133,'Calc Cashflow'!L133)</f>
        <v/>
      </c>
      <c r="P127" s="67">
        <f>CHOOSE(Plan!$K$5,'Calc Smart'!M133,'Calc Avalanche'!M133,'Calc Snowball'!M133,'Calc Cashflow'!M133)</f>
        <v/>
      </c>
      <c r="Q127" s="67">
        <f>CHOOSE(Plan!$K$5,'Calc Smart'!N133,'Calc Avalanche'!N133,'Calc Snowball'!N133,'Calc Cashflow'!N133)</f>
        <v/>
      </c>
    </row>
    <row r="128">
      <c r="B128" s="64">
        <f>EDATE(Plan!$C$6,122)</f>
        <v/>
      </c>
      <c r="C128" s="31">
        <f>CHOOSE(Plan!$K$5,'Calc Smart'!AE134,'Calc Avalanche'!AE134,'Calc Snowball'!AE134,'Calc Cashflow'!AE134)</f>
        <v/>
      </c>
      <c r="D128" s="31">
        <f>CHOOSE(Plan!$K$5,'Calc Smart'!AD134,'Calc Avalanche'!AD134,'Calc Snowball'!AD134,'Calc Cashflow'!AD134)</f>
        <v/>
      </c>
      <c r="E128" s="40">
        <f>CHOOSE(Plan!$K$5,COUNTIF('Calc Smart'!C134:N134,"&gt;0"),COUNTIF('Calc Avalanche'!C134:N134,"&gt;0"),COUNTIF('Calc Snowball'!C134:N134,"&gt;0"),COUNTIF('Calc Cashflow'!C134:N134,"&gt;0"))</f>
        <v/>
      </c>
      <c r="F128" s="65">
        <f>CHOOSE(Plan!$K$5,'Calc Smart'!C134,'Calc Avalanche'!C134,'Calc Snowball'!C134,'Calc Cashflow'!C134)</f>
        <v/>
      </c>
      <c r="G128" s="65">
        <f>CHOOSE(Plan!$K$5,'Calc Smart'!D134,'Calc Avalanche'!D134,'Calc Snowball'!D134,'Calc Cashflow'!D134)</f>
        <v/>
      </c>
      <c r="H128" s="65">
        <f>CHOOSE(Plan!$K$5,'Calc Smart'!E134,'Calc Avalanche'!E134,'Calc Snowball'!E134,'Calc Cashflow'!E134)</f>
        <v/>
      </c>
      <c r="I128" s="65">
        <f>CHOOSE(Plan!$K$5,'Calc Smart'!F134,'Calc Avalanche'!F134,'Calc Snowball'!F134,'Calc Cashflow'!F134)</f>
        <v/>
      </c>
      <c r="J128" s="65">
        <f>CHOOSE(Plan!$K$5,'Calc Smart'!G134,'Calc Avalanche'!G134,'Calc Snowball'!G134,'Calc Cashflow'!G134)</f>
        <v/>
      </c>
      <c r="K128" s="65">
        <f>CHOOSE(Plan!$K$5,'Calc Smart'!H134,'Calc Avalanche'!H134,'Calc Snowball'!H134,'Calc Cashflow'!H134)</f>
        <v/>
      </c>
      <c r="L128" s="65">
        <f>CHOOSE(Plan!$K$5,'Calc Smart'!I134,'Calc Avalanche'!I134,'Calc Snowball'!I134,'Calc Cashflow'!I134)</f>
        <v/>
      </c>
      <c r="M128" s="65">
        <f>CHOOSE(Plan!$K$5,'Calc Smart'!J134,'Calc Avalanche'!J134,'Calc Snowball'!J134,'Calc Cashflow'!J134)</f>
        <v/>
      </c>
      <c r="N128" s="65">
        <f>CHOOSE(Plan!$K$5,'Calc Smart'!K134,'Calc Avalanche'!K134,'Calc Snowball'!K134,'Calc Cashflow'!K134)</f>
        <v/>
      </c>
      <c r="O128" s="65">
        <f>CHOOSE(Plan!$K$5,'Calc Smart'!L134,'Calc Avalanche'!L134,'Calc Snowball'!L134,'Calc Cashflow'!L134)</f>
        <v/>
      </c>
      <c r="P128" s="65">
        <f>CHOOSE(Plan!$K$5,'Calc Smart'!M134,'Calc Avalanche'!M134,'Calc Snowball'!M134,'Calc Cashflow'!M134)</f>
        <v/>
      </c>
      <c r="Q128" s="65">
        <f>CHOOSE(Plan!$K$5,'Calc Smart'!N134,'Calc Avalanche'!N134,'Calc Snowball'!N134,'Calc Cashflow'!N134)</f>
        <v/>
      </c>
    </row>
    <row r="129">
      <c r="B129" s="66">
        <f>EDATE(Plan!$C$6,123)</f>
        <v/>
      </c>
      <c r="C129" s="32">
        <f>CHOOSE(Plan!$K$5,'Calc Smart'!AE135,'Calc Avalanche'!AE135,'Calc Snowball'!AE135,'Calc Cashflow'!AE135)</f>
        <v/>
      </c>
      <c r="D129" s="32">
        <f>CHOOSE(Plan!$K$5,'Calc Smart'!AD135,'Calc Avalanche'!AD135,'Calc Snowball'!AD135,'Calc Cashflow'!AD135)</f>
        <v/>
      </c>
      <c r="E129" s="43">
        <f>CHOOSE(Plan!$K$5,COUNTIF('Calc Smart'!C135:N135,"&gt;0"),COUNTIF('Calc Avalanche'!C135:N135,"&gt;0"),COUNTIF('Calc Snowball'!C135:N135,"&gt;0"),COUNTIF('Calc Cashflow'!C135:N135,"&gt;0"))</f>
        <v/>
      </c>
      <c r="F129" s="67">
        <f>CHOOSE(Plan!$K$5,'Calc Smart'!C135,'Calc Avalanche'!C135,'Calc Snowball'!C135,'Calc Cashflow'!C135)</f>
        <v/>
      </c>
      <c r="G129" s="67">
        <f>CHOOSE(Plan!$K$5,'Calc Smart'!D135,'Calc Avalanche'!D135,'Calc Snowball'!D135,'Calc Cashflow'!D135)</f>
        <v/>
      </c>
      <c r="H129" s="67">
        <f>CHOOSE(Plan!$K$5,'Calc Smart'!E135,'Calc Avalanche'!E135,'Calc Snowball'!E135,'Calc Cashflow'!E135)</f>
        <v/>
      </c>
      <c r="I129" s="67">
        <f>CHOOSE(Plan!$K$5,'Calc Smart'!F135,'Calc Avalanche'!F135,'Calc Snowball'!F135,'Calc Cashflow'!F135)</f>
        <v/>
      </c>
      <c r="J129" s="67">
        <f>CHOOSE(Plan!$K$5,'Calc Smart'!G135,'Calc Avalanche'!G135,'Calc Snowball'!G135,'Calc Cashflow'!G135)</f>
        <v/>
      </c>
      <c r="K129" s="67">
        <f>CHOOSE(Plan!$K$5,'Calc Smart'!H135,'Calc Avalanche'!H135,'Calc Snowball'!H135,'Calc Cashflow'!H135)</f>
        <v/>
      </c>
      <c r="L129" s="67">
        <f>CHOOSE(Plan!$K$5,'Calc Smart'!I135,'Calc Avalanche'!I135,'Calc Snowball'!I135,'Calc Cashflow'!I135)</f>
        <v/>
      </c>
      <c r="M129" s="67">
        <f>CHOOSE(Plan!$K$5,'Calc Smart'!J135,'Calc Avalanche'!J135,'Calc Snowball'!J135,'Calc Cashflow'!J135)</f>
        <v/>
      </c>
      <c r="N129" s="67">
        <f>CHOOSE(Plan!$K$5,'Calc Smart'!K135,'Calc Avalanche'!K135,'Calc Snowball'!K135,'Calc Cashflow'!K135)</f>
        <v/>
      </c>
      <c r="O129" s="67">
        <f>CHOOSE(Plan!$K$5,'Calc Smart'!L135,'Calc Avalanche'!L135,'Calc Snowball'!L135,'Calc Cashflow'!L135)</f>
        <v/>
      </c>
      <c r="P129" s="67">
        <f>CHOOSE(Plan!$K$5,'Calc Smart'!M135,'Calc Avalanche'!M135,'Calc Snowball'!M135,'Calc Cashflow'!M135)</f>
        <v/>
      </c>
      <c r="Q129" s="67">
        <f>CHOOSE(Plan!$K$5,'Calc Smart'!N135,'Calc Avalanche'!N135,'Calc Snowball'!N135,'Calc Cashflow'!N135)</f>
        <v/>
      </c>
    </row>
    <row r="130">
      <c r="B130" s="64">
        <f>EDATE(Plan!$C$6,124)</f>
        <v/>
      </c>
      <c r="C130" s="31">
        <f>CHOOSE(Plan!$K$5,'Calc Smart'!AE136,'Calc Avalanche'!AE136,'Calc Snowball'!AE136,'Calc Cashflow'!AE136)</f>
        <v/>
      </c>
      <c r="D130" s="31">
        <f>CHOOSE(Plan!$K$5,'Calc Smart'!AD136,'Calc Avalanche'!AD136,'Calc Snowball'!AD136,'Calc Cashflow'!AD136)</f>
        <v/>
      </c>
      <c r="E130" s="40">
        <f>CHOOSE(Plan!$K$5,COUNTIF('Calc Smart'!C136:N136,"&gt;0"),COUNTIF('Calc Avalanche'!C136:N136,"&gt;0"),COUNTIF('Calc Snowball'!C136:N136,"&gt;0"),COUNTIF('Calc Cashflow'!C136:N136,"&gt;0"))</f>
        <v/>
      </c>
      <c r="F130" s="65">
        <f>CHOOSE(Plan!$K$5,'Calc Smart'!C136,'Calc Avalanche'!C136,'Calc Snowball'!C136,'Calc Cashflow'!C136)</f>
        <v/>
      </c>
      <c r="G130" s="65">
        <f>CHOOSE(Plan!$K$5,'Calc Smart'!D136,'Calc Avalanche'!D136,'Calc Snowball'!D136,'Calc Cashflow'!D136)</f>
        <v/>
      </c>
      <c r="H130" s="65">
        <f>CHOOSE(Plan!$K$5,'Calc Smart'!E136,'Calc Avalanche'!E136,'Calc Snowball'!E136,'Calc Cashflow'!E136)</f>
        <v/>
      </c>
      <c r="I130" s="65">
        <f>CHOOSE(Plan!$K$5,'Calc Smart'!F136,'Calc Avalanche'!F136,'Calc Snowball'!F136,'Calc Cashflow'!F136)</f>
        <v/>
      </c>
      <c r="J130" s="65">
        <f>CHOOSE(Plan!$K$5,'Calc Smart'!G136,'Calc Avalanche'!G136,'Calc Snowball'!G136,'Calc Cashflow'!G136)</f>
        <v/>
      </c>
      <c r="K130" s="65">
        <f>CHOOSE(Plan!$K$5,'Calc Smart'!H136,'Calc Avalanche'!H136,'Calc Snowball'!H136,'Calc Cashflow'!H136)</f>
        <v/>
      </c>
      <c r="L130" s="65">
        <f>CHOOSE(Plan!$K$5,'Calc Smart'!I136,'Calc Avalanche'!I136,'Calc Snowball'!I136,'Calc Cashflow'!I136)</f>
        <v/>
      </c>
      <c r="M130" s="65">
        <f>CHOOSE(Plan!$K$5,'Calc Smart'!J136,'Calc Avalanche'!J136,'Calc Snowball'!J136,'Calc Cashflow'!J136)</f>
        <v/>
      </c>
      <c r="N130" s="65">
        <f>CHOOSE(Plan!$K$5,'Calc Smart'!K136,'Calc Avalanche'!K136,'Calc Snowball'!K136,'Calc Cashflow'!K136)</f>
        <v/>
      </c>
      <c r="O130" s="65">
        <f>CHOOSE(Plan!$K$5,'Calc Smart'!L136,'Calc Avalanche'!L136,'Calc Snowball'!L136,'Calc Cashflow'!L136)</f>
        <v/>
      </c>
      <c r="P130" s="65">
        <f>CHOOSE(Plan!$K$5,'Calc Smart'!M136,'Calc Avalanche'!M136,'Calc Snowball'!M136,'Calc Cashflow'!M136)</f>
        <v/>
      </c>
      <c r="Q130" s="65">
        <f>CHOOSE(Plan!$K$5,'Calc Smart'!N136,'Calc Avalanche'!N136,'Calc Snowball'!N136,'Calc Cashflow'!N136)</f>
        <v/>
      </c>
    </row>
    <row r="131">
      <c r="B131" s="66">
        <f>EDATE(Plan!$C$6,125)</f>
        <v/>
      </c>
      <c r="C131" s="32">
        <f>CHOOSE(Plan!$K$5,'Calc Smart'!AE137,'Calc Avalanche'!AE137,'Calc Snowball'!AE137,'Calc Cashflow'!AE137)</f>
        <v/>
      </c>
      <c r="D131" s="32">
        <f>CHOOSE(Plan!$K$5,'Calc Smart'!AD137,'Calc Avalanche'!AD137,'Calc Snowball'!AD137,'Calc Cashflow'!AD137)</f>
        <v/>
      </c>
      <c r="E131" s="43">
        <f>CHOOSE(Plan!$K$5,COUNTIF('Calc Smart'!C137:N137,"&gt;0"),COUNTIF('Calc Avalanche'!C137:N137,"&gt;0"),COUNTIF('Calc Snowball'!C137:N137,"&gt;0"),COUNTIF('Calc Cashflow'!C137:N137,"&gt;0"))</f>
        <v/>
      </c>
      <c r="F131" s="67">
        <f>CHOOSE(Plan!$K$5,'Calc Smart'!C137,'Calc Avalanche'!C137,'Calc Snowball'!C137,'Calc Cashflow'!C137)</f>
        <v/>
      </c>
      <c r="G131" s="67">
        <f>CHOOSE(Plan!$K$5,'Calc Smart'!D137,'Calc Avalanche'!D137,'Calc Snowball'!D137,'Calc Cashflow'!D137)</f>
        <v/>
      </c>
      <c r="H131" s="67">
        <f>CHOOSE(Plan!$K$5,'Calc Smart'!E137,'Calc Avalanche'!E137,'Calc Snowball'!E137,'Calc Cashflow'!E137)</f>
        <v/>
      </c>
      <c r="I131" s="67">
        <f>CHOOSE(Plan!$K$5,'Calc Smart'!F137,'Calc Avalanche'!F137,'Calc Snowball'!F137,'Calc Cashflow'!F137)</f>
        <v/>
      </c>
      <c r="J131" s="67">
        <f>CHOOSE(Plan!$K$5,'Calc Smart'!G137,'Calc Avalanche'!G137,'Calc Snowball'!G137,'Calc Cashflow'!G137)</f>
        <v/>
      </c>
      <c r="K131" s="67">
        <f>CHOOSE(Plan!$K$5,'Calc Smart'!H137,'Calc Avalanche'!H137,'Calc Snowball'!H137,'Calc Cashflow'!H137)</f>
        <v/>
      </c>
      <c r="L131" s="67">
        <f>CHOOSE(Plan!$K$5,'Calc Smart'!I137,'Calc Avalanche'!I137,'Calc Snowball'!I137,'Calc Cashflow'!I137)</f>
        <v/>
      </c>
      <c r="M131" s="67">
        <f>CHOOSE(Plan!$K$5,'Calc Smart'!J137,'Calc Avalanche'!J137,'Calc Snowball'!J137,'Calc Cashflow'!J137)</f>
        <v/>
      </c>
      <c r="N131" s="67">
        <f>CHOOSE(Plan!$K$5,'Calc Smart'!K137,'Calc Avalanche'!K137,'Calc Snowball'!K137,'Calc Cashflow'!K137)</f>
        <v/>
      </c>
      <c r="O131" s="67">
        <f>CHOOSE(Plan!$K$5,'Calc Smart'!L137,'Calc Avalanche'!L137,'Calc Snowball'!L137,'Calc Cashflow'!L137)</f>
        <v/>
      </c>
      <c r="P131" s="67">
        <f>CHOOSE(Plan!$K$5,'Calc Smart'!M137,'Calc Avalanche'!M137,'Calc Snowball'!M137,'Calc Cashflow'!M137)</f>
        <v/>
      </c>
      <c r="Q131" s="67">
        <f>CHOOSE(Plan!$K$5,'Calc Smart'!N137,'Calc Avalanche'!N137,'Calc Snowball'!N137,'Calc Cashflow'!N137)</f>
        <v/>
      </c>
    </row>
    <row r="132">
      <c r="B132" s="64">
        <f>EDATE(Plan!$C$6,126)</f>
        <v/>
      </c>
      <c r="C132" s="31">
        <f>CHOOSE(Plan!$K$5,'Calc Smart'!AE138,'Calc Avalanche'!AE138,'Calc Snowball'!AE138,'Calc Cashflow'!AE138)</f>
        <v/>
      </c>
      <c r="D132" s="31">
        <f>CHOOSE(Plan!$K$5,'Calc Smart'!AD138,'Calc Avalanche'!AD138,'Calc Snowball'!AD138,'Calc Cashflow'!AD138)</f>
        <v/>
      </c>
      <c r="E132" s="40">
        <f>CHOOSE(Plan!$K$5,COUNTIF('Calc Smart'!C138:N138,"&gt;0"),COUNTIF('Calc Avalanche'!C138:N138,"&gt;0"),COUNTIF('Calc Snowball'!C138:N138,"&gt;0"),COUNTIF('Calc Cashflow'!C138:N138,"&gt;0"))</f>
        <v/>
      </c>
      <c r="F132" s="65">
        <f>CHOOSE(Plan!$K$5,'Calc Smart'!C138,'Calc Avalanche'!C138,'Calc Snowball'!C138,'Calc Cashflow'!C138)</f>
        <v/>
      </c>
      <c r="G132" s="65">
        <f>CHOOSE(Plan!$K$5,'Calc Smart'!D138,'Calc Avalanche'!D138,'Calc Snowball'!D138,'Calc Cashflow'!D138)</f>
        <v/>
      </c>
      <c r="H132" s="65">
        <f>CHOOSE(Plan!$K$5,'Calc Smart'!E138,'Calc Avalanche'!E138,'Calc Snowball'!E138,'Calc Cashflow'!E138)</f>
        <v/>
      </c>
      <c r="I132" s="65">
        <f>CHOOSE(Plan!$K$5,'Calc Smart'!F138,'Calc Avalanche'!F138,'Calc Snowball'!F138,'Calc Cashflow'!F138)</f>
        <v/>
      </c>
      <c r="J132" s="65">
        <f>CHOOSE(Plan!$K$5,'Calc Smart'!G138,'Calc Avalanche'!G138,'Calc Snowball'!G138,'Calc Cashflow'!G138)</f>
        <v/>
      </c>
      <c r="K132" s="65">
        <f>CHOOSE(Plan!$K$5,'Calc Smart'!H138,'Calc Avalanche'!H138,'Calc Snowball'!H138,'Calc Cashflow'!H138)</f>
        <v/>
      </c>
      <c r="L132" s="65">
        <f>CHOOSE(Plan!$K$5,'Calc Smart'!I138,'Calc Avalanche'!I138,'Calc Snowball'!I138,'Calc Cashflow'!I138)</f>
        <v/>
      </c>
      <c r="M132" s="65">
        <f>CHOOSE(Plan!$K$5,'Calc Smart'!J138,'Calc Avalanche'!J138,'Calc Snowball'!J138,'Calc Cashflow'!J138)</f>
        <v/>
      </c>
      <c r="N132" s="65">
        <f>CHOOSE(Plan!$K$5,'Calc Smart'!K138,'Calc Avalanche'!K138,'Calc Snowball'!K138,'Calc Cashflow'!K138)</f>
        <v/>
      </c>
      <c r="O132" s="65">
        <f>CHOOSE(Plan!$K$5,'Calc Smart'!L138,'Calc Avalanche'!L138,'Calc Snowball'!L138,'Calc Cashflow'!L138)</f>
        <v/>
      </c>
      <c r="P132" s="65">
        <f>CHOOSE(Plan!$K$5,'Calc Smart'!M138,'Calc Avalanche'!M138,'Calc Snowball'!M138,'Calc Cashflow'!M138)</f>
        <v/>
      </c>
      <c r="Q132" s="65">
        <f>CHOOSE(Plan!$K$5,'Calc Smart'!N138,'Calc Avalanche'!N138,'Calc Snowball'!N138,'Calc Cashflow'!N138)</f>
        <v/>
      </c>
    </row>
    <row r="133">
      <c r="B133" s="66">
        <f>EDATE(Plan!$C$6,127)</f>
        <v/>
      </c>
      <c r="C133" s="32">
        <f>CHOOSE(Plan!$K$5,'Calc Smart'!AE139,'Calc Avalanche'!AE139,'Calc Snowball'!AE139,'Calc Cashflow'!AE139)</f>
        <v/>
      </c>
      <c r="D133" s="32">
        <f>CHOOSE(Plan!$K$5,'Calc Smart'!AD139,'Calc Avalanche'!AD139,'Calc Snowball'!AD139,'Calc Cashflow'!AD139)</f>
        <v/>
      </c>
      <c r="E133" s="43">
        <f>CHOOSE(Plan!$K$5,COUNTIF('Calc Smart'!C139:N139,"&gt;0"),COUNTIF('Calc Avalanche'!C139:N139,"&gt;0"),COUNTIF('Calc Snowball'!C139:N139,"&gt;0"),COUNTIF('Calc Cashflow'!C139:N139,"&gt;0"))</f>
        <v/>
      </c>
      <c r="F133" s="67">
        <f>CHOOSE(Plan!$K$5,'Calc Smart'!C139,'Calc Avalanche'!C139,'Calc Snowball'!C139,'Calc Cashflow'!C139)</f>
        <v/>
      </c>
      <c r="G133" s="67">
        <f>CHOOSE(Plan!$K$5,'Calc Smart'!D139,'Calc Avalanche'!D139,'Calc Snowball'!D139,'Calc Cashflow'!D139)</f>
        <v/>
      </c>
      <c r="H133" s="67">
        <f>CHOOSE(Plan!$K$5,'Calc Smart'!E139,'Calc Avalanche'!E139,'Calc Snowball'!E139,'Calc Cashflow'!E139)</f>
        <v/>
      </c>
      <c r="I133" s="67">
        <f>CHOOSE(Plan!$K$5,'Calc Smart'!F139,'Calc Avalanche'!F139,'Calc Snowball'!F139,'Calc Cashflow'!F139)</f>
        <v/>
      </c>
      <c r="J133" s="67">
        <f>CHOOSE(Plan!$K$5,'Calc Smart'!G139,'Calc Avalanche'!G139,'Calc Snowball'!G139,'Calc Cashflow'!G139)</f>
        <v/>
      </c>
      <c r="K133" s="67">
        <f>CHOOSE(Plan!$K$5,'Calc Smart'!H139,'Calc Avalanche'!H139,'Calc Snowball'!H139,'Calc Cashflow'!H139)</f>
        <v/>
      </c>
      <c r="L133" s="67">
        <f>CHOOSE(Plan!$K$5,'Calc Smart'!I139,'Calc Avalanche'!I139,'Calc Snowball'!I139,'Calc Cashflow'!I139)</f>
        <v/>
      </c>
      <c r="M133" s="67">
        <f>CHOOSE(Plan!$K$5,'Calc Smart'!J139,'Calc Avalanche'!J139,'Calc Snowball'!J139,'Calc Cashflow'!J139)</f>
        <v/>
      </c>
      <c r="N133" s="67">
        <f>CHOOSE(Plan!$K$5,'Calc Smart'!K139,'Calc Avalanche'!K139,'Calc Snowball'!K139,'Calc Cashflow'!K139)</f>
        <v/>
      </c>
      <c r="O133" s="67">
        <f>CHOOSE(Plan!$K$5,'Calc Smart'!L139,'Calc Avalanche'!L139,'Calc Snowball'!L139,'Calc Cashflow'!L139)</f>
        <v/>
      </c>
      <c r="P133" s="67">
        <f>CHOOSE(Plan!$K$5,'Calc Smart'!M139,'Calc Avalanche'!M139,'Calc Snowball'!M139,'Calc Cashflow'!M139)</f>
        <v/>
      </c>
      <c r="Q133" s="67">
        <f>CHOOSE(Plan!$K$5,'Calc Smart'!N139,'Calc Avalanche'!N139,'Calc Snowball'!N139,'Calc Cashflow'!N139)</f>
        <v/>
      </c>
    </row>
    <row r="134">
      <c r="B134" s="64">
        <f>EDATE(Plan!$C$6,128)</f>
        <v/>
      </c>
      <c r="C134" s="31">
        <f>CHOOSE(Plan!$K$5,'Calc Smart'!AE140,'Calc Avalanche'!AE140,'Calc Snowball'!AE140,'Calc Cashflow'!AE140)</f>
        <v/>
      </c>
      <c r="D134" s="31">
        <f>CHOOSE(Plan!$K$5,'Calc Smart'!AD140,'Calc Avalanche'!AD140,'Calc Snowball'!AD140,'Calc Cashflow'!AD140)</f>
        <v/>
      </c>
      <c r="E134" s="40">
        <f>CHOOSE(Plan!$K$5,COUNTIF('Calc Smart'!C140:N140,"&gt;0"),COUNTIF('Calc Avalanche'!C140:N140,"&gt;0"),COUNTIF('Calc Snowball'!C140:N140,"&gt;0"),COUNTIF('Calc Cashflow'!C140:N140,"&gt;0"))</f>
        <v/>
      </c>
      <c r="F134" s="65">
        <f>CHOOSE(Plan!$K$5,'Calc Smart'!C140,'Calc Avalanche'!C140,'Calc Snowball'!C140,'Calc Cashflow'!C140)</f>
        <v/>
      </c>
      <c r="G134" s="65">
        <f>CHOOSE(Plan!$K$5,'Calc Smart'!D140,'Calc Avalanche'!D140,'Calc Snowball'!D140,'Calc Cashflow'!D140)</f>
        <v/>
      </c>
      <c r="H134" s="65">
        <f>CHOOSE(Plan!$K$5,'Calc Smart'!E140,'Calc Avalanche'!E140,'Calc Snowball'!E140,'Calc Cashflow'!E140)</f>
        <v/>
      </c>
      <c r="I134" s="65">
        <f>CHOOSE(Plan!$K$5,'Calc Smart'!F140,'Calc Avalanche'!F140,'Calc Snowball'!F140,'Calc Cashflow'!F140)</f>
        <v/>
      </c>
      <c r="J134" s="65">
        <f>CHOOSE(Plan!$K$5,'Calc Smart'!G140,'Calc Avalanche'!G140,'Calc Snowball'!G140,'Calc Cashflow'!G140)</f>
        <v/>
      </c>
      <c r="K134" s="65">
        <f>CHOOSE(Plan!$K$5,'Calc Smart'!H140,'Calc Avalanche'!H140,'Calc Snowball'!H140,'Calc Cashflow'!H140)</f>
        <v/>
      </c>
      <c r="L134" s="65">
        <f>CHOOSE(Plan!$K$5,'Calc Smart'!I140,'Calc Avalanche'!I140,'Calc Snowball'!I140,'Calc Cashflow'!I140)</f>
        <v/>
      </c>
      <c r="M134" s="65">
        <f>CHOOSE(Plan!$K$5,'Calc Smart'!J140,'Calc Avalanche'!J140,'Calc Snowball'!J140,'Calc Cashflow'!J140)</f>
        <v/>
      </c>
      <c r="N134" s="65">
        <f>CHOOSE(Plan!$K$5,'Calc Smart'!K140,'Calc Avalanche'!K140,'Calc Snowball'!K140,'Calc Cashflow'!K140)</f>
        <v/>
      </c>
      <c r="O134" s="65">
        <f>CHOOSE(Plan!$K$5,'Calc Smart'!L140,'Calc Avalanche'!L140,'Calc Snowball'!L140,'Calc Cashflow'!L140)</f>
        <v/>
      </c>
      <c r="P134" s="65">
        <f>CHOOSE(Plan!$K$5,'Calc Smart'!M140,'Calc Avalanche'!M140,'Calc Snowball'!M140,'Calc Cashflow'!M140)</f>
        <v/>
      </c>
      <c r="Q134" s="65">
        <f>CHOOSE(Plan!$K$5,'Calc Smart'!N140,'Calc Avalanche'!N140,'Calc Snowball'!N140,'Calc Cashflow'!N140)</f>
        <v/>
      </c>
    </row>
    <row r="135">
      <c r="B135" s="66">
        <f>EDATE(Plan!$C$6,129)</f>
        <v/>
      </c>
      <c r="C135" s="32">
        <f>CHOOSE(Plan!$K$5,'Calc Smart'!AE141,'Calc Avalanche'!AE141,'Calc Snowball'!AE141,'Calc Cashflow'!AE141)</f>
        <v/>
      </c>
      <c r="D135" s="32">
        <f>CHOOSE(Plan!$K$5,'Calc Smart'!AD141,'Calc Avalanche'!AD141,'Calc Snowball'!AD141,'Calc Cashflow'!AD141)</f>
        <v/>
      </c>
      <c r="E135" s="43">
        <f>CHOOSE(Plan!$K$5,COUNTIF('Calc Smart'!C141:N141,"&gt;0"),COUNTIF('Calc Avalanche'!C141:N141,"&gt;0"),COUNTIF('Calc Snowball'!C141:N141,"&gt;0"),COUNTIF('Calc Cashflow'!C141:N141,"&gt;0"))</f>
        <v/>
      </c>
      <c r="F135" s="67">
        <f>CHOOSE(Plan!$K$5,'Calc Smart'!C141,'Calc Avalanche'!C141,'Calc Snowball'!C141,'Calc Cashflow'!C141)</f>
        <v/>
      </c>
      <c r="G135" s="67">
        <f>CHOOSE(Plan!$K$5,'Calc Smart'!D141,'Calc Avalanche'!D141,'Calc Snowball'!D141,'Calc Cashflow'!D141)</f>
        <v/>
      </c>
      <c r="H135" s="67">
        <f>CHOOSE(Plan!$K$5,'Calc Smart'!E141,'Calc Avalanche'!E141,'Calc Snowball'!E141,'Calc Cashflow'!E141)</f>
        <v/>
      </c>
      <c r="I135" s="67">
        <f>CHOOSE(Plan!$K$5,'Calc Smart'!F141,'Calc Avalanche'!F141,'Calc Snowball'!F141,'Calc Cashflow'!F141)</f>
        <v/>
      </c>
      <c r="J135" s="67">
        <f>CHOOSE(Plan!$K$5,'Calc Smart'!G141,'Calc Avalanche'!G141,'Calc Snowball'!G141,'Calc Cashflow'!G141)</f>
        <v/>
      </c>
      <c r="K135" s="67">
        <f>CHOOSE(Plan!$K$5,'Calc Smart'!H141,'Calc Avalanche'!H141,'Calc Snowball'!H141,'Calc Cashflow'!H141)</f>
        <v/>
      </c>
      <c r="L135" s="67">
        <f>CHOOSE(Plan!$K$5,'Calc Smart'!I141,'Calc Avalanche'!I141,'Calc Snowball'!I141,'Calc Cashflow'!I141)</f>
        <v/>
      </c>
      <c r="M135" s="67">
        <f>CHOOSE(Plan!$K$5,'Calc Smart'!J141,'Calc Avalanche'!J141,'Calc Snowball'!J141,'Calc Cashflow'!J141)</f>
        <v/>
      </c>
      <c r="N135" s="67">
        <f>CHOOSE(Plan!$K$5,'Calc Smart'!K141,'Calc Avalanche'!K141,'Calc Snowball'!K141,'Calc Cashflow'!K141)</f>
        <v/>
      </c>
      <c r="O135" s="67">
        <f>CHOOSE(Plan!$K$5,'Calc Smart'!L141,'Calc Avalanche'!L141,'Calc Snowball'!L141,'Calc Cashflow'!L141)</f>
        <v/>
      </c>
      <c r="P135" s="67">
        <f>CHOOSE(Plan!$K$5,'Calc Smart'!M141,'Calc Avalanche'!M141,'Calc Snowball'!M141,'Calc Cashflow'!M141)</f>
        <v/>
      </c>
      <c r="Q135" s="67">
        <f>CHOOSE(Plan!$K$5,'Calc Smart'!N141,'Calc Avalanche'!N141,'Calc Snowball'!N141,'Calc Cashflow'!N141)</f>
        <v/>
      </c>
    </row>
    <row r="136">
      <c r="B136" s="64">
        <f>EDATE(Plan!$C$6,130)</f>
        <v/>
      </c>
      <c r="C136" s="31">
        <f>CHOOSE(Plan!$K$5,'Calc Smart'!AE142,'Calc Avalanche'!AE142,'Calc Snowball'!AE142,'Calc Cashflow'!AE142)</f>
        <v/>
      </c>
      <c r="D136" s="31">
        <f>CHOOSE(Plan!$K$5,'Calc Smart'!AD142,'Calc Avalanche'!AD142,'Calc Snowball'!AD142,'Calc Cashflow'!AD142)</f>
        <v/>
      </c>
      <c r="E136" s="40">
        <f>CHOOSE(Plan!$K$5,COUNTIF('Calc Smart'!C142:N142,"&gt;0"),COUNTIF('Calc Avalanche'!C142:N142,"&gt;0"),COUNTIF('Calc Snowball'!C142:N142,"&gt;0"),COUNTIF('Calc Cashflow'!C142:N142,"&gt;0"))</f>
        <v/>
      </c>
      <c r="F136" s="65">
        <f>CHOOSE(Plan!$K$5,'Calc Smart'!C142,'Calc Avalanche'!C142,'Calc Snowball'!C142,'Calc Cashflow'!C142)</f>
        <v/>
      </c>
      <c r="G136" s="65">
        <f>CHOOSE(Plan!$K$5,'Calc Smart'!D142,'Calc Avalanche'!D142,'Calc Snowball'!D142,'Calc Cashflow'!D142)</f>
        <v/>
      </c>
      <c r="H136" s="65">
        <f>CHOOSE(Plan!$K$5,'Calc Smart'!E142,'Calc Avalanche'!E142,'Calc Snowball'!E142,'Calc Cashflow'!E142)</f>
        <v/>
      </c>
      <c r="I136" s="65">
        <f>CHOOSE(Plan!$K$5,'Calc Smart'!F142,'Calc Avalanche'!F142,'Calc Snowball'!F142,'Calc Cashflow'!F142)</f>
        <v/>
      </c>
      <c r="J136" s="65">
        <f>CHOOSE(Plan!$K$5,'Calc Smart'!G142,'Calc Avalanche'!G142,'Calc Snowball'!G142,'Calc Cashflow'!G142)</f>
        <v/>
      </c>
      <c r="K136" s="65">
        <f>CHOOSE(Plan!$K$5,'Calc Smart'!H142,'Calc Avalanche'!H142,'Calc Snowball'!H142,'Calc Cashflow'!H142)</f>
        <v/>
      </c>
      <c r="L136" s="65">
        <f>CHOOSE(Plan!$K$5,'Calc Smart'!I142,'Calc Avalanche'!I142,'Calc Snowball'!I142,'Calc Cashflow'!I142)</f>
        <v/>
      </c>
      <c r="M136" s="65">
        <f>CHOOSE(Plan!$K$5,'Calc Smart'!J142,'Calc Avalanche'!J142,'Calc Snowball'!J142,'Calc Cashflow'!J142)</f>
        <v/>
      </c>
      <c r="N136" s="65">
        <f>CHOOSE(Plan!$K$5,'Calc Smart'!K142,'Calc Avalanche'!K142,'Calc Snowball'!K142,'Calc Cashflow'!K142)</f>
        <v/>
      </c>
      <c r="O136" s="65">
        <f>CHOOSE(Plan!$K$5,'Calc Smart'!L142,'Calc Avalanche'!L142,'Calc Snowball'!L142,'Calc Cashflow'!L142)</f>
        <v/>
      </c>
      <c r="P136" s="65">
        <f>CHOOSE(Plan!$K$5,'Calc Smart'!M142,'Calc Avalanche'!M142,'Calc Snowball'!M142,'Calc Cashflow'!M142)</f>
        <v/>
      </c>
      <c r="Q136" s="65">
        <f>CHOOSE(Plan!$K$5,'Calc Smart'!N142,'Calc Avalanche'!N142,'Calc Snowball'!N142,'Calc Cashflow'!N142)</f>
        <v/>
      </c>
    </row>
    <row r="137">
      <c r="B137" s="66">
        <f>EDATE(Plan!$C$6,131)</f>
        <v/>
      </c>
      <c r="C137" s="32">
        <f>CHOOSE(Plan!$K$5,'Calc Smart'!AE143,'Calc Avalanche'!AE143,'Calc Snowball'!AE143,'Calc Cashflow'!AE143)</f>
        <v/>
      </c>
      <c r="D137" s="32">
        <f>CHOOSE(Plan!$K$5,'Calc Smart'!AD143,'Calc Avalanche'!AD143,'Calc Snowball'!AD143,'Calc Cashflow'!AD143)</f>
        <v/>
      </c>
      <c r="E137" s="43">
        <f>CHOOSE(Plan!$K$5,COUNTIF('Calc Smart'!C143:N143,"&gt;0"),COUNTIF('Calc Avalanche'!C143:N143,"&gt;0"),COUNTIF('Calc Snowball'!C143:N143,"&gt;0"),COUNTIF('Calc Cashflow'!C143:N143,"&gt;0"))</f>
        <v/>
      </c>
      <c r="F137" s="67">
        <f>CHOOSE(Plan!$K$5,'Calc Smart'!C143,'Calc Avalanche'!C143,'Calc Snowball'!C143,'Calc Cashflow'!C143)</f>
        <v/>
      </c>
      <c r="G137" s="67">
        <f>CHOOSE(Plan!$K$5,'Calc Smart'!D143,'Calc Avalanche'!D143,'Calc Snowball'!D143,'Calc Cashflow'!D143)</f>
        <v/>
      </c>
      <c r="H137" s="67">
        <f>CHOOSE(Plan!$K$5,'Calc Smart'!E143,'Calc Avalanche'!E143,'Calc Snowball'!E143,'Calc Cashflow'!E143)</f>
        <v/>
      </c>
      <c r="I137" s="67">
        <f>CHOOSE(Plan!$K$5,'Calc Smart'!F143,'Calc Avalanche'!F143,'Calc Snowball'!F143,'Calc Cashflow'!F143)</f>
        <v/>
      </c>
      <c r="J137" s="67">
        <f>CHOOSE(Plan!$K$5,'Calc Smart'!G143,'Calc Avalanche'!G143,'Calc Snowball'!G143,'Calc Cashflow'!G143)</f>
        <v/>
      </c>
      <c r="K137" s="67">
        <f>CHOOSE(Plan!$K$5,'Calc Smart'!H143,'Calc Avalanche'!H143,'Calc Snowball'!H143,'Calc Cashflow'!H143)</f>
        <v/>
      </c>
      <c r="L137" s="67">
        <f>CHOOSE(Plan!$K$5,'Calc Smart'!I143,'Calc Avalanche'!I143,'Calc Snowball'!I143,'Calc Cashflow'!I143)</f>
        <v/>
      </c>
      <c r="M137" s="67">
        <f>CHOOSE(Plan!$K$5,'Calc Smart'!J143,'Calc Avalanche'!J143,'Calc Snowball'!J143,'Calc Cashflow'!J143)</f>
        <v/>
      </c>
      <c r="N137" s="67">
        <f>CHOOSE(Plan!$K$5,'Calc Smart'!K143,'Calc Avalanche'!K143,'Calc Snowball'!K143,'Calc Cashflow'!K143)</f>
        <v/>
      </c>
      <c r="O137" s="67">
        <f>CHOOSE(Plan!$K$5,'Calc Smart'!L143,'Calc Avalanche'!L143,'Calc Snowball'!L143,'Calc Cashflow'!L143)</f>
        <v/>
      </c>
      <c r="P137" s="67">
        <f>CHOOSE(Plan!$K$5,'Calc Smart'!M143,'Calc Avalanche'!M143,'Calc Snowball'!M143,'Calc Cashflow'!M143)</f>
        <v/>
      </c>
      <c r="Q137" s="67">
        <f>CHOOSE(Plan!$K$5,'Calc Smart'!N143,'Calc Avalanche'!N143,'Calc Snowball'!N143,'Calc Cashflow'!N143)</f>
        <v/>
      </c>
    </row>
    <row r="138">
      <c r="B138" s="64">
        <f>EDATE(Plan!$C$6,132)</f>
        <v/>
      </c>
      <c r="C138" s="31">
        <f>CHOOSE(Plan!$K$5,'Calc Smart'!AE144,'Calc Avalanche'!AE144,'Calc Snowball'!AE144,'Calc Cashflow'!AE144)</f>
        <v/>
      </c>
      <c r="D138" s="31">
        <f>CHOOSE(Plan!$K$5,'Calc Smart'!AD144,'Calc Avalanche'!AD144,'Calc Snowball'!AD144,'Calc Cashflow'!AD144)</f>
        <v/>
      </c>
      <c r="E138" s="40">
        <f>CHOOSE(Plan!$K$5,COUNTIF('Calc Smart'!C144:N144,"&gt;0"),COUNTIF('Calc Avalanche'!C144:N144,"&gt;0"),COUNTIF('Calc Snowball'!C144:N144,"&gt;0"),COUNTIF('Calc Cashflow'!C144:N144,"&gt;0"))</f>
        <v/>
      </c>
      <c r="F138" s="65">
        <f>CHOOSE(Plan!$K$5,'Calc Smart'!C144,'Calc Avalanche'!C144,'Calc Snowball'!C144,'Calc Cashflow'!C144)</f>
        <v/>
      </c>
      <c r="G138" s="65">
        <f>CHOOSE(Plan!$K$5,'Calc Smart'!D144,'Calc Avalanche'!D144,'Calc Snowball'!D144,'Calc Cashflow'!D144)</f>
        <v/>
      </c>
      <c r="H138" s="65">
        <f>CHOOSE(Plan!$K$5,'Calc Smart'!E144,'Calc Avalanche'!E144,'Calc Snowball'!E144,'Calc Cashflow'!E144)</f>
        <v/>
      </c>
      <c r="I138" s="65">
        <f>CHOOSE(Plan!$K$5,'Calc Smart'!F144,'Calc Avalanche'!F144,'Calc Snowball'!F144,'Calc Cashflow'!F144)</f>
        <v/>
      </c>
      <c r="J138" s="65">
        <f>CHOOSE(Plan!$K$5,'Calc Smart'!G144,'Calc Avalanche'!G144,'Calc Snowball'!G144,'Calc Cashflow'!G144)</f>
        <v/>
      </c>
      <c r="K138" s="65">
        <f>CHOOSE(Plan!$K$5,'Calc Smart'!H144,'Calc Avalanche'!H144,'Calc Snowball'!H144,'Calc Cashflow'!H144)</f>
        <v/>
      </c>
      <c r="L138" s="65">
        <f>CHOOSE(Plan!$K$5,'Calc Smart'!I144,'Calc Avalanche'!I144,'Calc Snowball'!I144,'Calc Cashflow'!I144)</f>
        <v/>
      </c>
      <c r="M138" s="65">
        <f>CHOOSE(Plan!$K$5,'Calc Smart'!J144,'Calc Avalanche'!J144,'Calc Snowball'!J144,'Calc Cashflow'!J144)</f>
        <v/>
      </c>
      <c r="N138" s="65">
        <f>CHOOSE(Plan!$K$5,'Calc Smart'!K144,'Calc Avalanche'!K144,'Calc Snowball'!K144,'Calc Cashflow'!K144)</f>
        <v/>
      </c>
      <c r="O138" s="65">
        <f>CHOOSE(Plan!$K$5,'Calc Smart'!L144,'Calc Avalanche'!L144,'Calc Snowball'!L144,'Calc Cashflow'!L144)</f>
        <v/>
      </c>
      <c r="P138" s="65">
        <f>CHOOSE(Plan!$K$5,'Calc Smart'!M144,'Calc Avalanche'!M144,'Calc Snowball'!M144,'Calc Cashflow'!M144)</f>
        <v/>
      </c>
      <c r="Q138" s="65">
        <f>CHOOSE(Plan!$K$5,'Calc Smart'!N144,'Calc Avalanche'!N144,'Calc Snowball'!N144,'Calc Cashflow'!N144)</f>
        <v/>
      </c>
    </row>
    <row r="139">
      <c r="B139" s="66">
        <f>EDATE(Plan!$C$6,133)</f>
        <v/>
      </c>
      <c r="C139" s="32">
        <f>CHOOSE(Plan!$K$5,'Calc Smart'!AE145,'Calc Avalanche'!AE145,'Calc Snowball'!AE145,'Calc Cashflow'!AE145)</f>
        <v/>
      </c>
      <c r="D139" s="32">
        <f>CHOOSE(Plan!$K$5,'Calc Smart'!AD145,'Calc Avalanche'!AD145,'Calc Snowball'!AD145,'Calc Cashflow'!AD145)</f>
        <v/>
      </c>
      <c r="E139" s="43">
        <f>CHOOSE(Plan!$K$5,COUNTIF('Calc Smart'!C145:N145,"&gt;0"),COUNTIF('Calc Avalanche'!C145:N145,"&gt;0"),COUNTIF('Calc Snowball'!C145:N145,"&gt;0"),COUNTIF('Calc Cashflow'!C145:N145,"&gt;0"))</f>
        <v/>
      </c>
      <c r="F139" s="67">
        <f>CHOOSE(Plan!$K$5,'Calc Smart'!C145,'Calc Avalanche'!C145,'Calc Snowball'!C145,'Calc Cashflow'!C145)</f>
        <v/>
      </c>
      <c r="G139" s="67">
        <f>CHOOSE(Plan!$K$5,'Calc Smart'!D145,'Calc Avalanche'!D145,'Calc Snowball'!D145,'Calc Cashflow'!D145)</f>
        <v/>
      </c>
      <c r="H139" s="67">
        <f>CHOOSE(Plan!$K$5,'Calc Smart'!E145,'Calc Avalanche'!E145,'Calc Snowball'!E145,'Calc Cashflow'!E145)</f>
        <v/>
      </c>
      <c r="I139" s="67">
        <f>CHOOSE(Plan!$K$5,'Calc Smart'!F145,'Calc Avalanche'!F145,'Calc Snowball'!F145,'Calc Cashflow'!F145)</f>
        <v/>
      </c>
      <c r="J139" s="67">
        <f>CHOOSE(Plan!$K$5,'Calc Smart'!G145,'Calc Avalanche'!G145,'Calc Snowball'!G145,'Calc Cashflow'!G145)</f>
        <v/>
      </c>
      <c r="K139" s="67">
        <f>CHOOSE(Plan!$K$5,'Calc Smart'!H145,'Calc Avalanche'!H145,'Calc Snowball'!H145,'Calc Cashflow'!H145)</f>
        <v/>
      </c>
      <c r="L139" s="67">
        <f>CHOOSE(Plan!$K$5,'Calc Smart'!I145,'Calc Avalanche'!I145,'Calc Snowball'!I145,'Calc Cashflow'!I145)</f>
        <v/>
      </c>
      <c r="M139" s="67">
        <f>CHOOSE(Plan!$K$5,'Calc Smart'!J145,'Calc Avalanche'!J145,'Calc Snowball'!J145,'Calc Cashflow'!J145)</f>
        <v/>
      </c>
      <c r="N139" s="67">
        <f>CHOOSE(Plan!$K$5,'Calc Smart'!K145,'Calc Avalanche'!K145,'Calc Snowball'!K145,'Calc Cashflow'!K145)</f>
        <v/>
      </c>
      <c r="O139" s="67">
        <f>CHOOSE(Plan!$K$5,'Calc Smart'!L145,'Calc Avalanche'!L145,'Calc Snowball'!L145,'Calc Cashflow'!L145)</f>
        <v/>
      </c>
      <c r="P139" s="67">
        <f>CHOOSE(Plan!$K$5,'Calc Smart'!M145,'Calc Avalanche'!M145,'Calc Snowball'!M145,'Calc Cashflow'!M145)</f>
        <v/>
      </c>
      <c r="Q139" s="67">
        <f>CHOOSE(Plan!$K$5,'Calc Smart'!N145,'Calc Avalanche'!N145,'Calc Snowball'!N145,'Calc Cashflow'!N145)</f>
        <v/>
      </c>
    </row>
    <row r="140">
      <c r="B140" s="64">
        <f>EDATE(Plan!$C$6,134)</f>
        <v/>
      </c>
      <c r="C140" s="31">
        <f>CHOOSE(Plan!$K$5,'Calc Smart'!AE146,'Calc Avalanche'!AE146,'Calc Snowball'!AE146,'Calc Cashflow'!AE146)</f>
        <v/>
      </c>
      <c r="D140" s="31">
        <f>CHOOSE(Plan!$K$5,'Calc Smart'!AD146,'Calc Avalanche'!AD146,'Calc Snowball'!AD146,'Calc Cashflow'!AD146)</f>
        <v/>
      </c>
      <c r="E140" s="40">
        <f>CHOOSE(Plan!$K$5,COUNTIF('Calc Smart'!C146:N146,"&gt;0"),COUNTIF('Calc Avalanche'!C146:N146,"&gt;0"),COUNTIF('Calc Snowball'!C146:N146,"&gt;0"),COUNTIF('Calc Cashflow'!C146:N146,"&gt;0"))</f>
        <v/>
      </c>
      <c r="F140" s="65">
        <f>CHOOSE(Plan!$K$5,'Calc Smart'!C146,'Calc Avalanche'!C146,'Calc Snowball'!C146,'Calc Cashflow'!C146)</f>
        <v/>
      </c>
      <c r="G140" s="65">
        <f>CHOOSE(Plan!$K$5,'Calc Smart'!D146,'Calc Avalanche'!D146,'Calc Snowball'!D146,'Calc Cashflow'!D146)</f>
        <v/>
      </c>
      <c r="H140" s="65">
        <f>CHOOSE(Plan!$K$5,'Calc Smart'!E146,'Calc Avalanche'!E146,'Calc Snowball'!E146,'Calc Cashflow'!E146)</f>
        <v/>
      </c>
      <c r="I140" s="65">
        <f>CHOOSE(Plan!$K$5,'Calc Smart'!F146,'Calc Avalanche'!F146,'Calc Snowball'!F146,'Calc Cashflow'!F146)</f>
        <v/>
      </c>
      <c r="J140" s="65">
        <f>CHOOSE(Plan!$K$5,'Calc Smart'!G146,'Calc Avalanche'!G146,'Calc Snowball'!G146,'Calc Cashflow'!G146)</f>
        <v/>
      </c>
      <c r="K140" s="65">
        <f>CHOOSE(Plan!$K$5,'Calc Smart'!H146,'Calc Avalanche'!H146,'Calc Snowball'!H146,'Calc Cashflow'!H146)</f>
        <v/>
      </c>
      <c r="L140" s="65">
        <f>CHOOSE(Plan!$K$5,'Calc Smart'!I146,'Calc Avalanche'!I146,'Calc Snowball'!I146,'Calc Cashflow'!I146)</f>
        <v/>
      </c>
      <c r="M140" s="65">
        <f>CHOOSE(Plan!$K$5,'Calc Smart'!J146,'Calc Avalanche'!J146,'Calc Snowball'!J146,'Calc Cashflow'!J146)</f>
        <v/>
      </c>
      <c r="N140" s="65">
        <f>CHOOSE(Plan!$K$5,'Calc Smart'!K146,'Calc Avalanche'!K146,'Calc Snowball'!K146,'Calc Cashflow'!K146)</f>
        <v/>
      </c>
      <c r="O140" s="65">
        <f>CHOOSE(Plan!$K$5,'Calc Smart'!L146,'Calc Avalanche'!L146,'Calc Snowball'!L146,'Calc Cashflow'!L146)</f>
        <v/>
      </c>
      <c r="P140" s="65">
        <f>CHOOSE(Plan!$K$5,'Calc Smart'!M146,'Calc Avalanche'!M146,'Calc Snowball'!M146,'Calc Cashflow'!M146)</f>
        <v/>
      </c>
      <c r="Q140" s="65">
        <f>CHOOSE(Plan!$K$5,'Calc Smart'!N146,'Calc Avalanche'!N146,'Calc Snowball'!N146,'Calc Cashflow'!N146)</f>
        <v/>
      </c>
    </row>
    <row r="141">
      <c r="B141" s="66">
        <f>EDATE(Plan!$C$6,135)</f>
        <v/>
      </c>
      <c r="C141" s="32">
        <f>CHOOSE(Plan!$K$5,'Calc Smart'!AE147,'Calc Avalanche'!AE147,'Calc Snowball'!AE147,'Calc Cashflow'!AE147)</f>
        <v/>
      </c>
      <c r="D141" s="32">
        <f>CHOOSE(Plan!$K$5,'Calc Smart'!AD147,'Calc Avalanche'!AD147,'Calc Snowball'!AD147,'Calc Cashflow'!AD147)</f>
        <v/>
      </c>
      <c r="E141" s="43">
        <f>CHOOSE(Plan!$K$5,COUNTIF('Calc Smart'!C147:N147,"&gt;0"),COUNTIF('Calc Avalanche'!C147:N147,"&gt;0"),COUNTIF('Calc Snowball'!C147:N147,"&gt;0"),COUNTIF('Calc Cashflow'!C147:N147,"&gt;0"))</f>
        <v/>
      </c>
      <c r="F141" s="67">
        <f>CHOOSE(Plan!$K$5,'Calc Smart'!C147,'Calc Avalanche'!C147,'Calc Snowball'!C147,'Calc Cashflow'!C147)</f>
        <v/>
      </c>
      <c r="G141" s="67">
        <f>CHOOSE(Plan!$K$5,'Calc Smart'!D147,'Calc Avalanche'!D147,'Calc Snowball'!D147,'Calc Cashflow'!D147)</f>
        <v/>
      </c>
      <c r="H141" s="67">
        <f>CHOOSE(Plan!$K$5,'Calc Smart'!E147,'Calc Avalanche'!E147,'Calc Snowball'!E147,'Calc Cashflow'!E147)</f>
        <v/>
      </c>
      <c r="I141" s="67">
        <f>CHOOSE(Plan!$K$5,'Calc Smart'!F147,'Calc Avalanche'!F147,'Calc Snowball'!F147,'Calc Cashflow'!F147)</f>
        <v/>
      </c>
      <c r="J141" s="67">
        <f>CHOOSE(Plan!$K$5,'Calc Smart'!G147,'Calc Avalanche'!G147,'Calc Snowball'!G147,'Calc Cashflow'!G147)</f>
        <v/>
      </c>
      <c r="K141" s="67">
        <f>CHOOSE(Plan!$K$5,'Calc Smart'!H147,'Calc Avalanche'!H147,'Calc Snowball'!H147,'Calc Cashflow'!H147)</f>
        <v/>
      </c>
      <c r="L141" s="67">
        <f>CHOOSE(Plan!$K$5,'Calc Smart'!I147,'Calc Avalanche'!I147,'Calc Snowball'!I147,'Calc Cashflow'!I147)</f>
        <v/>
      </c>
      <c r="M141" s="67">
        <f>CHOOSE(Plan!$K$5,'Calc Smart'!J147,'Calc Avalanche'!J147,'Calc Snowball'!J147,'Calc Cashflow'!J147)</f>
        <v/>
      </c>
      <c r="N141" s="67">
        <f>CHOOSE(Plan!$K$5,'Calc Smart'!K147,'Calc Avalanche'!K147,'Calc Snowball'!K147,'Calc Cashflow'!K147)</f>
        <v/>
      </c>
      <c r="O141" s="67">
        <f>CHOOSE(Plan!$K$5,'Calc Smart'!L147,'Calc Avalanche'!L147,'Calc Snowball'!L147,'Calc Cashflow'!L147)</f>
        <v/>
      </c>
      <c r="P141" s="67">
        <f>CHOOSE(Plan!$K$5,'Calc Smart'!M147,'Calc Avalanche'!M147,'Calc Snowball'!M147,'Calc Cashflow'!M147)</f>
        <v/>
      </c>
      <c r="Q141" s="67">
        <f>CHOOSE(Plan!$K$5,'Calc Smart'!N147,'Calc Avalanche'!N147,'Calc Snowball'!N147,'Calc Cashflow'!N147)</f>
        <v/>
      </c>
    </row>
    <row r="142">
      <c r="B142" s="64">
        <f>EDATE(Plan!$C$6,136)</f>
        <v/>
      </c>
      <c r="C142" s="31">
        <f>CHOOSE(Plan!$K$5,'Calc Smart'!AE148,'Calc Avalanche'!AE148,'Calc Snowball'!AE148,'Calc Cashflow'!AE148)</f>
        <v/>
      </c>
      <c r="D142" s="31">
        <f>CHOOSE(Plan!$K$5,'Calc Smart'!AD148,'Calc Avalanche'!AD148,'Calc Snowball'!AD148,'Calc Cashflow'!AD148)</f>
        <v/>
      </c>
      <c r="E142" s="40">
        <f>CHOOSE(Plan!$K$5,COUNTIF('Calc Smart'!C148:N148,"&gt;0"),COUNTIF('Calc Avalanche'!C148:N148,"&gt;0"),COUNTIF('Calc Snowball'!C148:N148,"&gt;0"),COUNTIF('Calc Cashflow'!C148:N148,"&gt;0"))</f>
        <v/>
      </c>
      <c r="F142" s="65">
        <f>CHOOSE(Plan!$K$5,'Calc Smart'!C148,'Calc Avalanche'!C148,'Calc Snowball'!C148,'Calc Cashflow'!C148)</f>
        <v/>
      </c>
      <c r="G142" s="65">
        <f>CHOOSE(Plan!$K$5,'Calc Smart'!D148,'Calc Avalanche'!D148,'Calc Snowball'!D148,'Calc Cashflow'!D148)</f>
        <v/>
      </c>
      <c r="H142" s="65">
        <f>CHOOSE(Plan!$K$5,'Calc Smart'!E148,'Calc Avalanche'!E148,'Calc Snowball'!E148,'Calc Cashflow'!E148)</f>
        <v/>
      </c>
      <c r="I142" s="65">
        <f>CHOOSE(Plan!$K$5,'Calc Smart'!F148,'Calc Avalanche'!F148,'Calc Snowball'!F148,'Calc Cashflow'!F148)</f>
        <v/>
      </c>
      <c r="J142" s="65">
        <f>CHOOSE(Plan!$K$5,'Calc Smart'!G148,'Calc Avalanche'!G148,'Calc Snowball'!G148,'Calc Cashflow'!G148)</f>
        <v/>
      </c>
      <c r="K142" s="65">
        <f>CHOOSE(Plan!$K$5,'Calc Smart'!H148,'Calc Avalanche'!H148,'Calc Snowball'!H148,'Calc Cashflow'!H148)</f>
        <v/>
      </c>
      <c r="L142" s="65">
        <f>CHOOSE(Plan!$K$5,'Calc Smart'!I148,'Calc Avalanche'!I148,'Calc Snowball'!I148,'Calc Cashflow'!I148)</f>
        <v/>
      </c>
      <c r="M142" s="65">
        <f>CHOOSE(Plan!$K$5,'Calc Smart'!J148,'Calc Avalanche'!J148,'Calc Snowball'!J148,'Calc Cashflow'!J148)</f>
        <v/>
      </c>
      <c r="N142" s="65">
        <f>CHOOSE(Plan!$K$5,'Calc Smart'!K148,'Calc Avalanche'!K148,'Calc Snowball'!K148,'Calc Cashflow'!K148)</f>
        <v/>
      </c>
      <c r="O142" s="65">
        <f>CHOOSE(Plan!$K$5,'Calc Smart'!L148,'Calc Avalanche'!L148,'Calc Snowball'!L148,'Calc Cashflow'!L148)</f>
        <v/>
      </c>
      <c r="P142" s="65">
        <f>CHOOSE(Plan!$K$5,'Calc Smart'!M148,'Calc Avalanche'!M148,'Calc Snowball'!M148,'Calc Cashflow'!M148)</f>
        <v/>
      </c>
      <c r="Q142" s="65">
        <f>CHOOSE(Plan!$K$5,'Calc Smart'!N148,'Calc Avalanche'!N148,'Calc Snowball'!N148,'Calc Cashflow'!N148)</f>
        <v/>
      </c>
    </row>
    <row r="143">
      <c r="B143" s="66">
        <f>EDATE(Plan!$C$6,137)</f>
        <v/>
      </c>
      <c r="C143" s="32">
        <f>CHOOSE(Plan!$K$5,'Calc Smart'!AE149,'Calc Avalanche'!AE149,'Calc Snowball'!AE149,'Calc Cashflow'!AE149)</f>
        <v/>
      </c>
      <c r="D143" s="32">
        <f>CHOOSE(Plan!$K$5,'Calc Smart'!AD149,'Calc Avalanche'!AD149,'Calc Snowball'!AD149,'Calc Cashflow'!AD149)</f>
        <v/>
      </c>
      <c r="E143" s="43">
        <f>CHOOSE(Plan!$K$5,COUNTIF('Calc Smart'!C149:N149,"&gt;0"),COUNTIF('Calc Avalanche'!C149:N149,"&gt;0"),COUNTIF('Calc Snowball'!C149:N149,"&gt;0"),COUNTIF('Calc Cashflow'!C149:N149,"&gt;0"))</f>
        <v/>
      </c>
      <c r="F143" s="67">
        <f>CHOOSE(Plan!$K$5,'Calc Smart'!C149,'Calc Avalanche'!C149,'Calc Snowball'!C149,'Calc Cashflow'!C149)</f>
        <v/>
      </c>
      <c r="G143" s="67">
        <f>CHOOSE(Plan!$K$5,'Calc Smart'!D149,'Calc Avalanche'!D149,'Calc Snowball'!D149,'Calc Cashflow'!D149)</f>
        <v/>
      </c>
      <c r="H143" s="67">
        <f>CHOOSE(Plan!$K$5,'Calc Smart'!E149,'Calc Avalanche'!E149,'Calc Snowball'!E149,'Calc Cashflow'!E149)</f>
        <v/>
      </c>
      <c r="I143" s="67">
        <f>CHOOSE(Plan!$K$5,'Calc Smart'!F149,'Calc Avalanche'!F149,'Calc Snowball'!F149,'Calc Cashflow'!F149)</f>
        <v/>
      </c>
      <c r="J143" s="67">
        <f>CHOOSE(Plan!$K$5,'Calc Smart'!G149,'Calc Avalanche'!G149,'Calc Snowball'!G149,'Calc Cashflow'!G149)</f>
        <v/>
      </c>
      <c r="K143" s="67">
        <f>CHOOSE(Plan!$K$5,'Calc Smart'!H149,'Calc Avalanche'!H149,'Calc Snowball'!H149,'Calc Cashflow'!H149)</f>
        <v/>
      </c>
      <c r="L143" s="67">
        <f>CHOOSE(Plan!$K$5,'Calc Smart'!I149,'Calc Avalanche'!I149,'Calc Snowball'!I149,'Calc Cashflow'!I149)</f>
        <v/>
      </c>
      <c r="M143" s="67">
        <f>CHOOSE(Plan!$K$5,'Calc Smart'!J149,'Calc Avalanche'!J149,'Calc Snowball'!J149,'Calc Cashflow'!J149)</f>
        <v/>
      </c>
      <c r="N143" s="67">
        <f>CHOOSE(Plan!$K$5,'Calc Smart'!K149,'Calc Avalanche'!K149,'Calc Snowball'!K149,'Calc Cashflow'!K149)</f>
        <v/>
      </c>
      <c r="O143" s="67">
        <f>CHOOSE(Plan!$K$5,'Calc Smart'!L149,'Calc Avalanche'!L149,'Calc Snowball'!L149,'Calc Cashflow'!L149)</f>
        <v/>
      </c>
      <c r="P143" s="67">
        <f>CHOOSE(Plan!$K$5,'Calc Smart'!M149,'Calc Avalanche'!M149,'Calc Snowball'!M149,'Calc Cashflow'!M149)</f>
        <v/>
      </c>
      <c r="Q143" s="67">
        <f>CHOOSE(Plan!$K$5,'Calc Smart'!N149,'Calc Avalanche'!N149,'Calc Snowball'!N149,'Calc Cashflow'!N149)</f>
        <v/>
      </c>
    </row>
    <row r="144">
      <c r="B144" s="64">
        <f>EDATE(Plan!$C$6,138)</f>
        <v/>
      </c>
      <c r="C144" s="31">
        <f>CHOOSE(Plan!$K$5,'Calc Smart'!AE150,'Calc Avalanche'!AE150,'Calc Snowball'!AE150,'Calc Cashflow'!AE150)</f>
        <v/>
      </c>
      <c r="D144" s="31">
        <f>CHOOSE(Plan!$K$5,'Calc Smart'!AD150,'Calc Avalanche'!AD150,'Calc Snowball'!AD150,'Calc Cashflow'!AD150)</f>
        <v/>
      </c>
      <c r="E144" s="40">
        <f>CHOOSE(Plan!$K$5,COUNTIF('Calc Smart'!C150:N150,"&gt;0"),COUNTIF('Calc Avalanche'!C150:N150,"&gt;0"),COUNTIF('Calc Snowball'!C150:N150,"&gt;0"),COUNTIF('Calc Cashflow'!C150:N150,"&gt;0"))</f>
        <v/>
      </c>
      <c r="F144" s="65">
        <f>CHOOSE(Plan!$K$5,'Calc Smart'!C150,'Calc Avalanche'!C150,'Calc Snowball'!C150,'Calc Cashflow'!C150)</f>
        <v/>
      </c>
      <c r="G144" s="65">
        <f>CHOOSE(Plan!$K$5,'Calc Smart'!D150,'Calc Avalanche'!D150,'Calc Snowball'!D150,'Calc Cashflow'!D150)</f>
        <v/>
      </c>
      <c r="H144" s="65">
        <f>CHOOSE(Plan!$K$5,'Calc Smart'!E150,'Calc Avalanche'!E150,'Calc Snowball'!E150,'Calc Cashflow'!E150)</f>
        <v/>
      </c>
      <c r="I144" s="65">
        <f>CHOOSE(Plan!$K$5,'Calc Smart'!F150,'Calc Avalanche'!F150,'Calc Snowball'!F150,'Calc Cashflow'!F150)</f>
        <v/>
      </c>
      <c r="J144" s="65">
        <f>CHOOSE(Plan!$K$5,'Calc Smart'!G150,'Calc Avalanche'!G150,'Calc Snowball'!G150,'Calc Cashflow'!G150)</f>
        <v/>
      </c>
      <c r="K144" s="65">
        <f>CHOOSE(Plan!$K$5,'Calc Smart'!H150,'Calc Avalanche'!H150,'Calc Snowball'!H150,'Calc Cashflow'!H150)</f>
        <v/>
      </c>
      <c r="L144" s="65">
        <f>CHOOSE(Plan!$K$5,'Calc Smart'!I150,'Calc Avalanche'!I150,'Calc Snowball'!I150,'Calc Cashflow'!I150)</f>
        <v/>
      </c>
      <c r="M144" s="65">
        <f>CHOOSE(Plan!$K$5,'Calc Smart'!J150,'Calc Avalanche'!J150,'Calc Snowball'!J150,'Calc Cashflow'!J150)</f>
        <v/>
      </c>
      <c r="N144" s="65">
        <f>CHOOSE(Plan!$K$5,'Calc Smart'!K150,'Calc Avalanche'!K150,'Calc Snowball'!K150,'Calc Cashflow'!K150)</f>
        <v/>
      </c>
      <c r="O144" s="65">
        <f>CHOOSE(Plan!$K$5,'Calc Smart'!L150,'Calc Avalanche'!L150,'Calc Snowball'!L150,'Calc Cashflow'!L150)</f>
        <v/>
      </c>
      <c r="P144" s="65">
        <f>CHOOSE(Plan!$K$5,'Calc Smart'!M150,'Calc Avalanche'!M150,'Calc Snowball'!M150,'Calc Cashflow'!M150)</f>
        <v/>
      </c>
      <c r="Q144" s="65">
        <f>CHOOSE(Plan!$K$5,'Calc Smart'!N150,'Calc Avalanche'!N150,'Calc Snowball'!N150,'Calc Cashflow'!N150)</f>
        <v/>
      </c>
    </row>
    <row r="145">
      <c r="B145" s="66">
        <f>EDATE(Plan!$C$6,139)</f>
        <v/>
      </c>
      <c r="C145" s="32">
        <f>CHOOSE(Plan!$K$5,'Calc Smart'!AE151,'Calc Avalanche'!AE151,'Calc Snowball'!AE151,'Calc Cashflow'!AE151)</f>
        <v/>
      </c>
      <c r="D145" s="32">
        <f>CHOOSE(Plan!$K$5,'Calc Smart'!AD151,'Calc Avalanche'!AD151,'Calc Snowball'!AD151,'Calc Cashflow'!AD151)</f>
        <v/>
      </c>
      <c r="E145" s="43">
        <f>CHOOSE(Plan!$K$5,COUNTIF('Calc Smart'!C151:N151,"&gt;0"),COUNTIF('Calc Avalanche'!C151:N151,"&gt;0"),COUNTIF('Calc Snowball'!C151:N151,"&gt;0"),COUNTIF('Calc Cashflow'!C151:N151,"&gt;0"))</f>
        <v/>
      </c>
      <c r="F145" s="67">
        <f>CHOOSE(Plan!$K$5,'Calc Smart'!C151,'Calc Avalanche'!C151,'Calc Snowball'!C151,'Calc Cashflow'!C151)</f>
        <v/>
      </c>
      <c r="G145" s="67">
        <f>CHOOSE(Plan!$K$5,'Calc Smart'!D151,'Calc Avalanche'!D151,'Calc Snowball'!D151,'Calc Cashflow'!D151)</f>
        <v/>
      </c>
      <c r="H145" s="67">
        <f>CHOOSE(Plan!$K$5,'Calc Smart'!E151,'Calc Avalanche'!E151,'Calc Snowball'!E151,'Calc Cashflow'!E151)</f>
        <v/>
      </c>
      <c r="I145" s="67">
        <f>CHOOSE(Plan!$K$5,'Calc Smart'!F151,'Calc Avalanche'!F151,'Calc Snowball'!F151,'Calc Cashflow'!F151)</f>
        <v/>
      </c>
      <c r="J145" s="67">
        <f>CHOOSE(Plan!$K$5,'Calc Smart'!G151,'Calc Avalanche'!G151,'Calc Snowball'!G151,'Calc Cashflow'!G151)</f>
        <v/>
      </c>
      <c r="K145" s="67">
        <f>CHOOSE(Plan!$K$5,'Calc Smart'!H151,'Calc Avalanche'!H151,'Calc Snowball'!H151,'Calc Cashflow'!H151)</f>
        <v/>
      </c>
      <c r="L145" s="67">
        <f>CHOOSE(Plan!$K$5,'Calc Smart'!I151,'Calc Avalanche'!I151,'Calc Snowball'!I151,'Calc Cashflow'!I151)</f>
        <v/>
      </c>
      <c r="M145" s="67">
        <f>CHOOSE(Plan!$K$5,'Calc Smart'!J151,'Calc Avalanche'!J151,'Calc Snowball'!J151,'Calc Cashflow'!J151)</f>
        <v/>
      </c>
      <c r="N145" s="67">
        <f>CHOOSE(Plan!$K$5,'Calc Smart'!K151,'Calc Avalanche'!K151,'Calc Snowball'!K151,'Calc Cashflow'!K151)</f>
        <v/>
      </c>
      <c r="O145" s="67">
        <f>CHOOSE(Plan!$K$5,'Calc Smart'!L151,'Calc Avalanche'!L151,'Calc Snowball'!L151,'Calc Cashflow'!L151)</f>
        <v/>
      </c>
      <c r="P145" s="67">
        <f>CHOOSE(Plan!$K$5,'Calc Smart'!M151,'Calc Avalanche'!M151,'Calc Snowball'!M151,'Calc Cashflow'!M151)</f>
        <v/>
      </c>
      <c r="Q145" s="67">
        <f>CHOOSE(Plan!$K$5,'Calc Smart'!N151,'Calc Avalanche'!N151,'Calc Snowball'!N151,'Calc Cashflow'!N151)</f>
        <v/>
      </c>
    </row>
    <row r="146">
      <c r="B146" s="64">
        <f>EDATE(Plan!$C$6,140)</f>
        <v/>
      </c>
      <c r="C146" s="31">
        <f>CHOOSE(Plan!$K$5,'Calc Smart'!AE152,'Calc Avalanche'!AE152,'Calc Snowball'!AE152,'Calc Cashflow'!AE152)</f>
        <v/>
      </c>
      <c r="D146" s="31">
        <f>CHOOSE(Plan!$K$5,'Calc Smart'!AD152,'Calc Avalanche'!AD152,'Calc Snowball'!AD152,'Calc Cashflow'!AD152)</f>
        <v/>
      </c>
      <c r="E146" s="40">
        <f>CHOOSE(Plan!$K$5,COUNTIF('Calc Smart'!C152:N152,"&gt;0"),COUNTIF('Calc Avalanche'!C152:N152,"&gt;0"),COUNTIF('Calc Snowball'!C152:N152,"&gt;0"),COUNTIF('Calc Cashflow'!C152:N152,"&gt;0"))</f>
        <v/>
      </c>
      <c r="F146" s="65">
        <f>CHOOSE(Plan!$K$5,'Calc Smart'!C152,'Calc Avalanche'!C152,'Calc Snowball'!C152,'Calc Cashflow'!C152)</f>
        <v/>
      </c>
      <c r="G146" s="65">
        <f>CHOOSE(Plan!$K$5,'Calc Smart'!D152,'Calc Avalanche'!D152,'Calc Snowball'!D152,'Calc Cashflow'!D152)</f>
        <v/>
      </c>
      <c r="H146" s="65">
        <f>CHOOSE(Plan!$K$5,'Calc Smart'!E152,'Calc Avalanche'!E152,'Calc Snowball'!E152,'Calc Cashflow'!E152)</f>
        <v/>
      </c>
      <c r="I146" s="65">
        <f>CHOOSE(Plan!$K$5,'Calc Smart'!F152,'Calc Avalanche'!F152,'Calc Snowball'!F152,'Calc Cashflow'!F152)</f>
        <v/>
      </c>
      <c r="J146" s="65">
        <f>CHOOSE(Plan!$K$5,'Calc Smart'!G152,'Calc Avalanche'!G152,'Calc Snowball'!G152,'Calc Cashflow'!G152)</f>
        <v/>
      </c>
      <c r="K146" s="65">
        <f>CHOOSE(Plan!$K$5,'Calc Smart'!H152,'Calc Avalanche'!H152,'Calc Snowball'!H152,'Calc Cashflow'!H152)</f>
        <v/>
      </c>
      <c r="L146" s="65">
        <f>CHOOSE(Plan!$K$5,'Calc Smart'!I152,'Calc Avalanche'!I152,'Calc Snowball'!I152,'Calc Cashflow'!I152)</f>
        <v/>
      </c>
      <c r="M146" s="65">
        <f>CHOOSE(Plan!$K$5,'Calc Smart'!J152,'Calc Avalanche'!J152,'Calc Snowball'!J152,'Calc Cashflow'!J152)</f>
        <v/>
      </c>
      <c r="N146" s="65">
        <f>CHOOSE(Plan!$K$5,'Calc Smart'!K152,'Calc Avalanche'!K152,'Calc Snowball'!K152,'Calc Cashflow'!K152)</f>
        <v/>
      </c>
      <c r="O146" s="65">
        <f>CHOOSE(Plan!$K$5,'Calc Smart'!L152,'Calc Avalanche'!L152,'Calc Snowball'!L152,'Calc Cashflow'!L152)</f>
        <v/>
      </c>
      <c r="P146" s="65">
        <f>CHOOSE(Plan!$K$5,'Calc Smart'!M152,'Calc Avalanche'!M152,'Calc Snowball'!M152,'Calc Cashflow'!M152)</f>
        <v/>
      </c>
      <c r="Q146" s="65">
        <f>CHOOSE(Plan!$K$5,'Calc Smart'!N152,'Calc Avalanche'!N152,'Calc Snowball'!N152,'Calc Cashflow'!N152)</f>
        <v/>
      </c>
    </row>
    <row r="147">
      <c r="B147" s="66">
        <f>EDATE(Plan!$C$6,141)</f>
        <v/>
      </c>
      <c r="C147" s="32">
        <f>CHOOSE(Plan!$K$5,'Calc Smart'!AE153,'Calc Avalanche'!AE153,'Calc Snowball'!AE153,'Calc Cashflow'!AE153)</f>
        <v/>
      </c>
      <c r="D147" s="32">
        <f>CHOOSE(Plan!$K$5,'Calc Smart'!AD153,'Calc Avalanche'!AD153,'Calc Snowball'!AD153,'Calc Cashflow'!AD153)</f>
        <v/>
      </c>
      <c r="E147" s="43">
        <f>CHOOSE(Plan!$K$5,COUNTIF('Calc Smart'!C153:N153,"&gt;0"),COUNTIF('Calc Avalanche'!C153:N153,"&gt;0"),COUNTIF('Calc Snowball'!C153:N153,"&gt;0"),COUNTIF('Calc Cashflow'!C153:N153,"&gt;0"))</f>
        <v/>
      </c>
      <c r="F147" s="67">
        <f>CHOOSE(Plan!$K$5,'Calc Smart'!C153,'Calc Avalanche'!C153,'Calc Snowball'!C153,'Calc Cashflow'!C153)</f>
        <v/>
      </c>
      <c r="G147" s="67">
        <f>CHOOSE(Plan!$K$5,'Calc Smart'!D153,'Calc Avalanche'!D153,'Calc Snowball'!D153,'Calc Cashflow'!D153)</f>
        <v/>
      </c>
      <c r="H147" s="67">
        <f>CHOOSE(Plan!$K$5,'Calc Smart'!E153,'Calc Avalanche'!E153,'Calc Snowball'!E153,'Calc Cashflow'!E153)</f>
        <v/>
      </c>
      <c r="I147" s="67">
        <f>CHOOSE(Plan!$K$5,'Calc Smart'!F153,'Calc Avalanche'!F153,'Calc Snowball'!F153,'Calc Cashflow'!F153)</f>
        <v/>
      </c>
      <c r="J147" s="67">
        <f>CHOOSE(Plan!$K$5,'Calc Smart'!G153,'Calc Avalanche'!G153,'Calc Snowball'!G153,'Calc Cashflow'!G153)</f>
        <v/>
      </c>
      <c r="K147" s="67">
        <f>CHOOSE(Plan!$K$5,'Calc Smart'!H153,'Calc Avalanche'!H153,'Calc Snowball'!H153,'Calc Cashflow'!H153)</f>
        <v/>
      </c>
      <c r="L147" s="67">
        <f>CHOOSE(Plan!$K$5,'Calc Smart'!I153,'Calc Avalanche'!I153,'Calc Snowball'!I153,'Calc Cashflow'!I153)</f>
        <v/>
      </c>
      <c r="M147" s="67">
        <f>CHOOSE(Plan!$K$5,'Calc Smart'!J153,'Calc Avalanche'!J153,'Calc Snowball'!J153,'Calc Cashflow'!J153)</f>
        <v/>
      </c>
      <c r="N147" s="67">
        <f>CHOOSE(Plan!$K$5,'Calc Smart'!K153,'Calc Avalanche'!K153,'Calc Snowball'!K153,'Calc Cashflow'!K153)</f>
        <v/>
      </c>
      <c r="O147" s="67">
        <f>CHOOSE(Plan!$K$5,'Calc Smart'!L153,'Calc Avalanche'!L153,'Calc Snowball'!L153,'Calc Cashflow'!L153)</f>
        <v/>
      </c>
      <c r="P147" s="67">
        <f>CHOOSE(Plan!$K$5,'Calc Smart'!M153,'Calc Avalanche'!M153,'Calc Snowball'!M153,'Calc Cashflow'!M153)</f>
        <v/>
      </c>
      <c r="Q147" s="67">
        <f>CHOOSE(Plan!$K$5,'Calc Smart'!N153,'Calc Avalanche'!N153,'Calc Snowball'!N153,'Calc Cashflow'!N153)</f>
        <v/>
      </c>
    </row>
    <row r="148">
      <c r="B148" s="64">
        <f>EDATE(Plan!$C$6,142)</f>
        <v/>
      </c>
      <c r="C148" s="31">
        <f>CHOOSE(Plan!$K$5,'Calc Smart'!AE154,'Calc Avalanche'!AE154,'Calc Snowball'!AE154,'Calc Cashflow'!AE154)</f>
        <v/>
      </c>
      <c r="D148" s="31">
        <f>CHOOSE(Plan!$K$5,'Calc Smart'!AD154,'Calc Avalanche'!AD154,'Calc Snowball'!AD154,'Calc Cashflow'!AD154)</f>
        <v/>
      </c>
      <c r="E148" s="40">
        <f>CHOOSE(Plan!$K$5,COUNTIF('Calc Smart'!C154:N154,"&gt;0"),COUNTIF('Calc Avalanche'!C154:N154,"&gt;0"),COUNTIF('Calc Snowball'!C154:N154,"&gt;0"),COUNTIF('Calc Cashflow'!C154:N154,"&gt;0"))</f>
        <v/>
      </c>
      <c r="F148" s="65">
        <f>CHOOSE(Plan!$K$5,'Calc Smart'!C154,'Calc Avalanche'!C154,'Calc Snowball'!C154,'Calc Cashflow'!C154)</f>
        <v/>
      </c>
      <c r="G148" s="65">
        <f>CHOOSE(Plan!$K$5,'Calc Smart'!D154,'Calc Avalanche'!D154,'Calc Snowball'!D154,'Calc Cashflow'!D154)</f>
        <v/>
      </c>
      <c r="H148" s="65">
        <f>CHOOSE(Plan!$K$5,'Calc Smart'!E154,'Calc Avalanche'!E154,'Calc Snowball'!E154,'Calc Cashflow'!E154)</f>
        <v/>
      </c>
      <c r="I148" s="65">
        <f>CHOOSE(Plan!$K$5,'Calc Smart'!F154,'Calc Avalanche'!F154,'Calc Snowball'!F154,'Calc Cashflow'!F154)</f>
        <v/>
      </c>
      <c r="J148" s="65">
        <f>CHOOSE(Plan!$K$5,'Calc Smart'!G154,'Calc Avalanche'!G154,'Calc Snowball'!G154,'Calc Cashflow'!G154)</f>
        <v/>
      </c>
      <c r="K148" s="65">
        <f>CHOOSE(Plan!$K$5,'Calc Smart'!H154,'Calc Avalanche'!H154,'Calc Snowball'!H154,'Calc Cashflow'!H154)</f>
        <v/>
      </c>
      <c r="L148" s="65">
        <f>CHOOSE(Plan!$K$5,'Calc Smart'!I154,'Calc Avalanche'!I154,'Calc Snowball'!I154,'Calc Cashflow'!I154)</f>
        <v/>
      </c>
      <c r="M148" s="65">
        <f>CHOOSE(Plan!$K$5,'Calc Smart'!J154,'Calc Avalanche'!J154,'Calc Snowball'!J154,'Calc Cashflow'!J154)</f>
        <v/>
      </c>
      <c r="N148" s="65">
        <f>CHOOSE(Plan!$K$5,'Calc Smart'!K154,'Calc Avalanche'!K154,'Calc Snowball'!K154,'Calc Cashflow'!K154)</f>
        <v/>
      </c>
      <c r="O148" s="65">
        <f>CHOOSE(Plan!$K$5,'Calc Smart'!L154,'Calc Avalanche'!L154,'Calc Snowball'!L154,'Calc Cashflow'!L154)</f>
        <v/>
      </c>
      <c r="P148" s="65">
        <f>CHOOSE(Plan!$K$5,'Calc Smart'!M154,'Calc Avalanche'!M154,'Calc Snowball'!M154,'Calc Cashflow'!M154)</f>
        <v/>
      </c>
      <c r="Q148" s="65">
        <f>CHOOSE(Plan!$K$5,'Calc Smart'!N154,'Calc Avalanche'!N154,'Calc Snowball'!N154,'Calc Cashflow'!N154)</f>
        <v/>
      </c>
    </row>
    <row r="149">
      <c r="B149" s="66">
        <f>EDATE(Plan!$C$6,143)</f>
        <v/>
      </c>
      <c r="C149" s="32">
        <f>CHOOSE(Plan!$K$5,'Calc Smart'!AE155,'Calc Avalanche'!AE155,'Calc Snowball'!AE155,'Calc Cashflow'!AE155)</f>
        <v/>
      </c>
      <c r="D149" s="32">
        <f>CHOOSE(Plan!$K$5,'Calc Smart'!AD155,'Calc Avalanche'!AD155,'Calc Snowball'!AD155,'Calc Cashflow'!AD155)</f>
        <v/>
      </c>
      <c r="E149" s="43">
        <f>CHOOSE(Plan!$K$5,COUNTIF('Calc Smart'!C155:N155,"&gt;0"),COUNTIF('Calc Avalanche'!C155:N155,"&gt;0"),COUNTIF('Calc Snowball'!C155:N155,"&gt;0"),COUNTIF('Calc Cashflow'!C155:N155,"&gt;0"))</f>
        <v/>
      </c>
      <c r="F149" s="67">
        <f>CHOOSE(Plan!$K$5,'Calc Smart'!C155,'Calc Avalanche'!C155,'Calc Snowball'!C155,'Calc Cashflow'!C155)</f>
        <v/>
      </c>
      <c r="G149" s="67">
        <f>CHOOSE(Plan!$K$5,'Calc Smart'!D155,'Calc Avalanche'!D155,'Calc Snowball'!D155,'Calc Cashflow'!D155)</f>
        <v/>
      </c>
      <c r="H149" s="67">
        <f>CHOOSE(Plan!$K$5,'Calc Smart'!E155,'Calc Avalanche'!E155,'Calc Snowball'!E155,'Calc Cashflow'!E155)</f>
        <v/>
      </c>
      <c r="I149" s="67">
        <f>CHOOSE(Plan!$K$5,'Calc Smart'!F155,'Calc Avalanche'!F155,'Calc Snowball'!F155,'Calc Cashflow'!F155)</f>
        <v/>
      </c>
      <c r="J149" s="67">
        <f>CHOOSE(Plan!$K$5,'Calc Smart'!G155,'Calc Avalanche'!G155,'Calc Snowball'!G155,'Calc Cashflow'!G155)</f>
        <v/>
      </c>
      <c r="K149" s="67">
        <f>CHOOSE(Plan!$K$5,'Calc Smart'!H155,'Calc Avalanche'!H155,'Calc Snowball'!H155,'Calc Cashflow'!H155)</f>
        <v/>
      </c>
      <c r="L149" s="67">
        <f>CHOOSE(Plan!$K$5,'Calc Smart'!I155,'Calc Avalanche'!I155,'Calc Snowball'!I155,'Calc Cashflow'!I155)</f>
        <v/>
      </c>
      <c r="M149" s="67">
        <f>CHOOSE(Plan!$K$5,'Calc Smart'!J155,'Calc Avalanche'!J155,'Calc Snowball'!J155,'Calc Cashflow'!J155)</f>
        <v/>
      </c>
      <c r="N149" s="67">
        <f>CHOOSE(Plan!$K$5,'Calc Smart'!K155,'Calc Avalanche'!K155,'Calc Snowball'!K155,'Calc Cashflow'!K155)</f>
        <v/>
      </c>
      <c r="O149" s="67">
        <f>CHOOSE(Plan!$K$5,'Calc Smart'!L155,'Calc Avalanche'!L155,'Calc Snowball'!L155,'Calc Cashflow'!L155)</f>
        <v/>
      </c>
      <c r="P149" s="67">
        <f>CHOOSE(Plan!$K$5,'Calc Smart'!M155,'Calc Avalanche'!M155,'Calc Snowball'!M155,'Calc Cashflow'!M155)</f>
        <v/>
      </c>
      <c r="Q149" s="67">
        <f>CHOOSE(Plan!$K$5,'Calc Smart'!N155,'Calc Avalanche'!N155,'Calc Snowball'!N155,'Calc Cashflow'!N155)</f>
        <v/>
      </c>
    </row>
    <row r="150">
      <c r="B150" s="64">
        <f>EDATE(Plan!$C$6,144)</f>
        <v/>
      </c>
      <c r="C150" s="31">
        <f>CHOOSE(Plan!$K$5,'Calc Smart'!AE156,'Calc Avalanche'!AE156,'Calc Snowball'!AE156,'Calc Cashflow'!AE156)</f>
        <v/>
      </c>
      <c r="D150" s="31">
        <f>CHOOSE(Plan!$K$5,'Calc Smart'!AD156,'Calc Avalanche'!AD156,'Calc Snowball'!AD156,'Calc Cashflow'!AD156)</f>
        <v/>
      </c>
      <c r="E150" s="40">
        <f>CHOOSE(Plan!$K$5,COUNTIF('Calc Smart'!C156:N156,"&gt;0"),COUNTIF('Calc Avalanche'!C156:N156,"&gt;0"),COUNTIF('Calc Snowball'!C156:N156,"&gt;0"),COUNTIF('Calc Cashflow'!C156:N156,"&gt;0"))</f>
        <v/>
      </c>
      <c r="F150" s="65">
        <f>CHOOSE(Plan!$K$5,'Calc Smart'!C156,'Calc Avalanche'!C156,'Calc Snowball'!C156,'Calc Cashflow'!C156)</f>
        <v/>
      </c>
      <c r="G150" s="65">
        <f>CHOOSE(Plan!$K$5,'Calc Smart'!D156,'Calc Avalanche'!D156,'Calc Snowball'!D156,'Calc Cashflow'!D156)</f>
        <v/>
      </c>
      <c r="H150" s="65">
        <f>CHOOSE(Plan!$K$5,'Calc Smart'!E156,'Calc Avalanche'!E156,'Calc Snowball'!E156,'Calc Cashflow'!E156)</f>
        <v/>
      </c>
      <c r="I150" s="65">
        <f>CHOOSE(Plan!$K$5,'Calc Smart'!F156,'Calc Avalanche'!F156,'Calc Snowball'!F156,'Calc Cashflow'!F156)</f>
        <v/>
      </c>
      <c r="J150" s="65">
        <f>CHOOSE(Plan!$K$5,'Calc Smart'!G156,'Calc Avalanche'!G156,'Calc Snowball'!G156,'Calc Cashflow'!G156)</f>
        <v/>
      </c>
      <c r="K150" s="65">
        <f>CHOOSE(Plan!$K$5,'Calc Smart'!H156,'Calc Avalanche'!H156,'Calc Snowball'!H156,'Calc Cashflow'!H156)</f>
        <v/>
      </c>
      <c r="L150" s="65">
        <f>CHOOSE(Plan!$K$5,'Calc Smart'!I156,'Calc Avalanche'!I156,'Calc Snowball'!I156,'Calc Cashflow'!I156)</f>
        <v/>
      </c>
      <c r="M150" s="65">
        <f>CHOOSE(Plan!$K$5,'Calc Smart'!J156,'Calc Avalanche'!J156,'Calc Snowball'!J156,'Calc Cashflow'!J156)</f>
        <v/>
      </c>
      <c r="N150" s="65">
        <f>CHOOSE(Plan!$K$5,'Calc Smart'!K156,'Calc Avalanche'!K156,'Calc Snowball'!K156,'Calc Cashflow'!K156)</f>
        <v/>
      </c>
      <c r="O150" s="65">
        <f>CHOOSE(Plan!$K$5,'Calc Smart'!L156,'Calc Avalanche'!L156,'Calc Snowball'!L156,'Calc Cashflow'!L156)</f>
        <v/>
      </c>
      <c r="P150" s="65">
        <f>CHOOSE(Plan!$K$5,'Calc Smart'!M156,'Calc Avalanche'!M156,'Calc Snowball'!M156,'Calc Cashflow'!M156)</f>
        <v/>
      </c>
      <c r="Q150" s="65">
        <f>CHOOSE(Plan!$K$5,'Calc Smart'!N156,'Calc Avalanche'!N156,'Calc Snowball'!N156,'Calc Cashflow'!N156)</f>
        <v/>
      </c>
    </row>
    <row r="151">
      <c r="B151" s="66">
        <f>EDATE(Plan!$C$6,145)</f>
        <v/>
      </c>
      <c r="C151" s="32">
        <f>CHOOSE(Plan!$K$5,'Calc Smart'!AE157,'Calc Avalanche'!AE157,'Calc Snowball'!AE157,'Calc Cashflow'!AE157)</f>
        <v/>
      </c>
      <c r="D151" s="32">
        <f>CHOOSE(Plan!$K$5,'Calc Smart'!AD157,'Calc Avalanche'!AD157,'Calc Snowball'!AD157,'Calc Cashflow'!AD157)</f>
        <v/>
      </c>
      <c r="E151" s="43">
        <f>CHOOSE(Plan!$K$5,COUNTIF('Calc Smart'!C157:N157,"&gt;0"),COUNTIF('Calc Avalanche'!C157:N157,"&gt;0"),COUNTIF('Calc Snowball'!C157:N157,"&gt;0"),COUNTIF('Calc Cashflow'!C157:N157,"&gt;0"))</f>
        <v/>
      </c>
      <c r="F151" s="67">
        <f>CHOOSE(Plan!$K$5,'Calc Smart'!C157,'Calc Avalanche'!C157,'Calc Snowball'!C157,'Calc Cashflow'!C157)</f>
        <v/>
      </c>
      <c r="G151" s="67">
        <f>CHOOSE(Plan!$K$5,'Calc Smart'!D157,'Calc Avalanche'!D157,'Calc Snowball'!D157,'Calc Cashflow'!D157)</f>
        <v/>
      </c>
      <c r="H151" s="67">
        <f>CHOOSE(Plan!$K$5,'Calc Smart'!E157,'Calc Avalanche'!E157,'Calc Snowball'!E157,'Calc Cashflow'!E157)</f>
        <v/>
      </c>
      <c r="I151" s="67">
        <f>CHOOSE(Plan!$K$5,'Calc Smart'!F157,'Calc Avalanche'!F157,'Calc Snowball'!F157,'Calc Cashflow'!F157)</f>
        <v/>
      </c>
      <c r="J151" s="67">
        <f>CHOOSE(Plan!$K$5,'Calc Smart'!G157,'Calc Avalanche'!G157,'Calc Snowball'!G157,'Calc Cashflow'!G157)</f>
        <v/>
      </c>
      <c r="K151" s="67">
        <f>CHOOSE(Plan!$K$5,'Calc Smart'!H157,'Calc Avalanche'!H157,'Calc Snowball'!H157,'Calc Cashflow'!H157)</f>
        <v/>
      </c>
      <c r="L151" s="67">
        <f>CHOOSE(Plan!$K$5,'Calc Smart'!I157,'Calc Avalanche'!I157,'Calc Snowball'!I157,'Calc Cashflow'!I157)</f>
        <v/>
      </c>
      <c r="M151" s="67">
        <f>CHOOSE(Plan!$K$5,'Calc Smart'!J157,'Calc Avalanche'!J157,'Calc Snowball'!J157,'Calc Cashflow'!J157)</f>
        <v/>
      </c>
      <c r="N151" s="67">
        <f>CHOOSE(Plan!$K$5,'Calc Smart'!K157,'Calc Avalanche'!K157,'Calc Snowball'!K157,'Calc Cashflow'!K157)</f>
        <v/>
      </c>
      <c r="O151" s="67">
        <f>CHOOSE(Plan!$K$5,'Calc Smart'!L157,'Calc Avalanche'!L157,'Calc Snowball'!L157,'Calc Cashflow'!L157)</f>
        <v/>
      </c>
      <c r="P151" s="67">
        <f>CHOOSE(Plan!$K$5,'Calc Smart'!M157,'Calc Avalanche'!M157,'Calc Snowball'!M157,'Calc Cashflow'!M157)</f>
        <v/>
      </c>
      <c r="Q151" s="67">
        <f>CHOOSE(Plan!$K$5,'Calc Smart'!N157,'Calc Avalanche'!N157,'Calc Snowball'!N157,'Calc Cashflow'!N157)</f>
        <v/>
      </c>
    </row>
    <row r="152">
      <c r="B152" s="64">
        <f>EDATE(Plan!$C$6,146)</f>
        <v/>
      </c>
      <c r="C152" s="31">
        <f>CHOOSE(Plan!$K$5,'Calc Smart'!AE158,'Calc Avalanche'!AE158,'Calc Snowball'!AE158,'Calc Cashflow'!AE158)</f>
        <v/>
      </c>
      <c r="D152" s="31">
        <f>CHOOSE(Plan!$K$5,'Calc Smart'!AD158,'Calc Avalanche'!AD158,'Calc Snowball'!AD158,'Calc Cashflow'!AD158)</f>
        <v/>
      </c>
      <c r="E152" s="40">
        <f>CHOOSE(Plan!$K$5,COUNTIF('Calc Smart'!C158:N158,"&gt;0"),COUNTIF('Calc Avalanche'!C158:N158,"&gt;0"),COUNTIF('Calc Snowball'!C158:N158,"&gt;0"),COUNTIF('Calc Cashflow'!C158:N158,"&gt;0"))</f>
        <v/>
      </c>
      <c r="F152" s="65">
        <f>CHOOSE(Plan!$K$5,'Calc Smart'!C158,'Calc Avalanche'!C158,'Calc Snowball'!C158,'Calc Cashflow'!C158)</f>
        <v/>
      </c>
      <c r="G152" s="65">
        <f>CHOOSE(Plan!$K$5,'Calc Smart'!D158,'Calc Avalanche'!D158,'Calc Snowball'!D158,'Calc Cashflow'!D158)</f>
        <v/>
      </c>
      <c r="H152" s="65">
        <f>CHOOSE(Plan!$K$5,'Calc Smart'!E158,'Calc Avalanche'!E158,'Calc Snowball'!E158,'Calc Cashflow'!E158)</f>
        <v/>
      </c>
      <c r="I152" s="65">
        <f>CHOOSE(Plan!$K$5,'Calc Smart'!F158,'Calc Avalanche'!F158,'Calc Snowball'!F158,'Calc Cashflow'!F158)</f>
        <v/>
      </c>
      <c r="J152" s="65">
        <f>CHOOSE(Plan!$K$5,'Calc Smart'!G158,'Calc Avalanche'!G158,'Calc Snowball'!G158,'Calc Cashflow'!G158)</f>
        <v/>
      </c>
      <c r="K152" s="65">
        <f>CHOOSE(Plan!$K$5,'Calc Smart'!H158,'Calc Avalanche'!H158,'Calc Snowball'!H158,'Calc Cashflow'!H158)</f>
        <v/>
      </c>
      <c r="L152" s="65">
        <f>CHOOSE(Plan!$K$5,'Calc Smart'!I158,'Calc Avalanche'!I158,'Calc Snowball'!I158,'Calc Cashflow'!I158)</f>
        <v/>
      </c>
      <c r="M152" s="65">
        <f>CHOOSE(Plan!$K$5,'Calc Smart'!J158,'Calc Avalanche'!J158,'Calc Snowball'!J158,'Calc Cashflow'!J158)</f>
        <v/>
      </c>
      <c r="N152" s="65">
        <f>CHOOSE(Plan!$K$5,'Calc Smart'!K158,'Calc Avalanche'!K158,'Calc Snowball'!K158,'Calc Cashflow'!K158)</f>
        <v/>
      </c>
      <c r="O152" s="65">
        <f>CHOOSE(Plan!$K$5,'Calc Smart'!L158,'Calc Avalanche'!L158,'Calc Snowball'!L158,'Calc Cashflow'!L158)</f>
        <v/>
      </c>
      <c r="P152" s="65">
        <f>CHOOSE(Plan!$K$5,'Calc Smart'!M158,'Calc Avalanche'!M158,'Calc Snowball'!M158,'Calc Cashflow'!M158)</f>
        <v/>
      </c>
      <c r="Q152" s="65">
        <f>CHOOSE(Plan!$K$5,'Calc Smart'!N158,'Calc Avalanche'!N158,'Calc Snowball'!N158,'Calc Cashflow'!N158)</f>
        <v/>
      </c>
    </row>
    <row r="153">
      <c r="B153" s="66">
        <f>EDATE(Plan!$C$6,147)</f>
        <v/>
      </c>
      <c r="C153" s="32">
        <f>CHOOSE(Plan!$K$5,'Calc Smart'!AE159,'Calc Avalanche'!AE159,'Calc Snowball'!AE159,'Calc Cashflow'!AE159)</f>
        <v/>
      </c>
      <c r="D153" s="32">
        <f>CHOOSE(Plan!$K$5,'Calc Smart'!AD159,'Calc Avalanche'!AD159,'Calc Snowball'!AD159,'Calc Cashflow'!AD159)</f>
        <v/>
      </c>
      <c r="E153" s="43">
        <f>CHOOSE(Plan!$K$5,COUNTIF('Calc Smart'!C159:N159,"&gt;0"),COUNTIF('Calc Avalanche'!C159:N159,"&gt;0"),COUNTIF('Calc Snowball'!C159:N159,"&gt;0"),COUNTIF('Calc Cashflow'!C159:N159,"&gt;0"))</f>
        <v/>
      </c>
      <c r="F153" s="67">
        <f>CHOOSE(Plan!$K$5,'Calc Smart'!C159,'Calc Avalanche'!C159,'Calc Snowball'!C159,'Calc Cashflow'!C159)</f>
        <v/>
      </c>
      <c r="G153" s="67">
        <f>CHOOSE(Plan!$K$5,'Calc Smart'!D159,'Calc Avalanche'!D159,'Calc Snowball'!D159,'Calc Cashflow'!D159)</f>
        <v/>
      </c>
      <c r="H153" s="67">
        <f>CHOOSE(Plan!$K$5,'Calc Smart'!E159,'Calc Avalanche'!E159,'Calc Snowball'!E159,'Calc Cashflow'!E159)</f>
        <v/>
      </c>
      <c r="I153" s="67">
        <f>CHOOSE(Plan!$K$5,'Calc Smart'!F159,'Calc Avalanche'!F159,'Calc Snowball'!F159,'Calc Cashflow'!F159)</f>
        <v/>
      </c>
      <c r="J153" s="67">
        <f>CHOOSE(Plan!$K$5,'Calc Smart'!G159,'Calc Avalanche'!G159,'Calc Snowball'!G159,'Calc Cashflow'!G159)</f>
        <v/>
      </c>
      <c r="K153" s="67">
        <f>CHOOSE(Plan!$K$5,'Calc Smart'!H159,'Calc Avalanche'!H159,'Calc Snowball'!H159,'Calc Cashflow'!H159)</f>
        <v/>
      </c>
      <c r="L153" s="67">
        <f>CHOOSE(Plan!$K$5,'Calc Smart'!I159,'Calc Avalanche'!I159,'Calc Snowball'!I159,'Calc Cashflow'!I159)</f>
        <v/>
      </c>
      <c r="M153" s="67">
        <f>CHOOSE(Plan!$K$5,'Calc Smart'!J159,'Calc Avalanche'!J159,'Calc Snowball'!J159,'Calc Cashflow'!J159)</f>
        <v/>
      </c>
      <c r="N153" s="67">
        <f>CHOOSE(Plan!$K$5,'Calc Smart'!K159,'Calc Avalanche'!K159,'Calc Snowball'!K159,'Calc Cashflow'!K159)</f>
        <v/>
      </c>
      <c r="O153" s="67">
        <f>CHOOSE(Plan!$K$5,'Calc Smart'!L159,'Calc Avalanche'!L159,'Calc Snowball'!L159,'Calc Cashflow'!L159)</f>
        <v/>
      </c>
      <c r="P153" s="67">
        <f>CHOOSE(Plan!$K$5,'Calc Smart'!M159,'Calc Avalanche'!M159,'Calc Snowball'!M159,'Calc Cashflow'!M159)</f>
        <v/>
      </c>
      <c r="Q153" s="67">
        <f>CHOOSE(Plan!$K$5,'Calc Smart'!N159,'Calc Avalanche'!N159,'Calc Snowball'!N159,'Calc Cashflow'!N159)</f>
        <v/>
      </c>
    </row>
    <row r="154">
      <c r="B154" s="64">
        <f>EDATE(Plan!$C$6,148)</f>
        <v/>
      </c>
      <c r="C154" s="31">
        <f>CHOOSE(Plan!$K$5,'Calc Smart'!AE160,'Calc Avalanche'!AE160,'Calc Snowball'!AE160,'Calc Cashflow'!AE160)</f>
        <v/>
      </c>
      <c r="D154" s="31">
        <f>CHOOSE(Plan!$K$5,'Calc Smart'!AD160,'Calc Avalanche'!AD160,'Calc Snowball'!AD160,'Calc Cashflow'!AD160)</f>
        <v/>
      </c>
      <c r="E154" s="40">
        <f>CHOOSE(Plan!$K$5,COUNTIF('Calc Smart'!C160:N160,"&gt;0"),COUNTIF('Calc Avalanche'!C160:N160,"&gt;0"),COUNTIF('Calc Snowball'!C160:N160,"&gt;0"),COUNTIF('Calc Cashflow'!C160:N160,"&gt;0"))</f>
        <v/>
      </c>
      <c r="F154" s="65">
        <f>CHOOSE(Plan!$K$5,'Calc Smart'!C160,'Calc Avalanche'!C160,'Calc Snowball'!C160,'Calc Cashflow'!C160)</f>
        <v/>
      </c>
      <c r="G154" s="65">
        <f>CHOOSE(Plan!$K$5,'Calc Smart'!D160,'Calc Avalanche'!D160,'Calc Snowball'!D160,'Calc Cashflow'!D160)</f>
        <v/>
      </c>
      <c r="H154" s="65">
        <f>CHOOSE(Plan!$K$5,'Calc Smart'!E160,'Calc Avalanche'!E160,'Calc Snowball'!E160,'Calc Cashflow'!E160)</f>
        <v/>
      </c>
      <c r="I154" s="65">
        <f>CHOOSE(Plan!$K$5,'Calc Smart'!F160,'Calc Avalanche'!F160,'Calc Snowball'!F160,'Calc Cashflow'!F160)</f>
        <v/>
      </c>
      <c r="J154" s="65">
        <f>CHOOSE(Plan!$K$5,'Calc Smart'!G160,'Calc Avalanche'!G160,'Calc Snowball'!G160,'Calc Cashflow'!G160)</f>
        <v/>
      </c>
      <c r="K154" s="65">
        <f>CHOOSE(Plan!$K$5,'Calc Smart'!H160,'Calc Avalanche'!H160,'Calc Snowball'!H160,'Calc Cashflow'!H160)</f>
        <v/>
      </c>
      <c r="L154" s="65">
        <f>CHOOSE(Plan!$K$5,'Calc Smart'!I160,'Calc Avalanche'!I160,'Calc Snowball'!I160,'Calc Cashflow'!I160)</f>
        <v/>
      </c>
      <c r="M154" s="65">
        <f>CHOOSE(Plan!$K$5,'Calc Smart'!J160,'Calc Avalanche'!J160,'Calc Snowball'!J160,'Calc Cashflow'!J160)</f>
        <v/>
      </c>
      <c r="N154" s="65">
        <f>CHOOSE(Plan!$K$5,'Calc Smart'!K160,'Calc Avalanche'!K160,'Calc Snowball'!K160,'Calc Cashflow'!K160)</f>
        <v/>
      </c>
      <c r="O154" s="65">
        <f>CHOOSE(Plan!$K$5,'Calc Smart'!L160,'Calc Avalanche'!L160,'Calc Snowball'!L160,'Calc Cashflow'!L160)</f>
        <v/>
      </c>
      <c r="P154" s="65">
        <f>CHOOSE(Plan!$K$5,'Calc Smart'!M160,'Calc Avalanche'!M160,'Calc Snowball'!M160,'Calc Cashflow'!M160)</f>
        <v/>
      </c>
      <c r="Q154" s="65">
        <f>CHOOSE(Plan!$K$5,'Calc Smart'!N160,'Calc Avalanche'!N160,'Calc Snowball'!N160,'Calc Cashflow'!N160)</f>
        <v/>
      </c>
    </row>
    <row r="155">
      <c r="B155" s="66">
        <f>EDATE(Plan!$C$6,149)</f>
        <v/>
      </c>
      <c r="C155" s="32">
        <f>CHOOSE(Plan!$K$5,'Calc Smart'!AE161,'Calc Avalanche'!AE161,'Calc Snowball'!AE161,'Calc Cashflow'!AE161)</f>
        <v/>
      </c>
      <c r="D155" s="32">
        <f>CHOOSE(Plan!$K$5,'Calc Smart'!AD161,'Calc Avalanche'!AD161,'Calc Snowball'!AD161,'Calc Cashflow'!AD161)</f>
        <v/>
      </c>
      <c r="E155" s="43">
        <f>CHOOSE(Plan!$K$5,COUNTIF('Calc Smart'!C161:N161,"&gt;0"),COUNTIF('Calc Avalanche'!C161:N161,"&gt;0"),COUNTIF('Calc Snowball'!C161:N161,"&gt;0"),COUNTIF('Calc Cashflow'!C161:N161,"&gt;0"))</f>
        <v/>
      </c>
      <c r="F155" s="67">
        <f>CHOOSE(Plan!$K$5,'Calc Smart'!C161,'Calc Avalanche'!C161,'Calc Snowball'!C161,'Calc Cashflow'!C161)</f>
        <v/>
      </c>
      <c r="G155" s="67">
        <f>CHOOSE(Plan!$K$5,'Calc Smart'!D161,'Calc Avalanche'!D161,'Calc Snowball'!D161,'Calc Cashflow'!D161)</f>
        <v/>
      </c>
      <c r="H155" s="67">
        <f>CHOOSE(Plan!$K$5,'Calc Smart'!E161,'Calc Avalanche'!E161,'Calc Snowball'!E161,'Calc Cashflow'!E161)</f>
        <v/>
      </c>
      <c r="I155" s="67">
        <f>CHOOSE(Plan!$K$5,'Calc Smart'!F161,'Calc Avalanche'!F161,'Calc Snowball'!F161,'Calc Cashflow'!F161)</f>
        <v/>
      </c>
      <c r="J155" s="67">
        <f>CHOOSE(Plan!$K$5,'Calc Smart'!G161,'Calc Avalanche'!G161,'Calc Snowball'!G161,'Calc Cashflow'!G161)</f>
        <v/>
      </c>
      <c r="K155" s="67">
        <f>CHOOSE(Plan!$K$5,'Calc Smart'!H161,'Calc Avalanche'!H161,'Calc Snowball'!H161,'Calc Cashflow'!H161)</f>
        <v/>
      </c>
      <c r="L155" s="67">
        <f>CHOOSE(Plan!$K$5,'Calc Smart'!I161,'Calc Avalanche'!I161,'Calc Snowball'!I161,'Calc Cashflow'!I161)</f>
        <v/>
      </c>
      <c r="M155" s="67">
        <f>CHOOSE(Plan!$K$5,'Calc Smart'!J161,'Calc Avalanche'!J161,'Calc Snowball'!J161,'Calc Cashflow'!J161)</f>
        <v/>
      </c>
      <c r="N155" s="67">
        <f>CHOOSE(Plan!$K$5,'Calc Smart'!K161,'Calc Avalanche'!K161,'Calc Snowball'!K161,'Calc Cashflow'!K161)</f>
        <v/>
      </c>
      <c r="O155" s="67">
        <f>CHOOSE(Plan!$K$5,'Calc Smart'!L161,'Calc Avalanche'!L161,'Calc Snowball'!L161,'Calc Cashflow'!L161)</f>
        <v/>
      </c>
      <c r="P155" s="67">
        <f>CHOOSE(Plan!$K$5,'Calc Smart'!M161,'Calc Avalanche'!M161,'Calc Snowball'!M161,'Calc Cashflow'!M161)</f>
        <v/>
      </c>
      <c r="Q155" s="67">
        <f>CHOOSE(Plan!$K$5,'Calc Smart'!N161,'Calc Avalanche'!N161,'Calc Snowball'!N161,'Calc Cashflow'!N161)</f>
        <v/>
      </c>
    </row>
    <row r="156">
      <c r="B156" s="64">
        <f>EDATE(Plan!$C$6,150)</f>
        <v/>
      </c>
      <c r="C156" s="31">
        <f>CHOOSE(Plan!$K$5,'Calc Smart'!AE162,'Calc Avalanche'!AE162,'Calc Snowball'!AE162,'Calc Cashflow'!AE162)</f>
        <v/>
      </c>
      <c r="D156" s="31">
        <f>CHOOSE(Plan!$K$5,'Calc Smart'!AD162,'Calc Avalanche'!AD162,'Calc Snowball'!AD162,'Calc Cashflow'!AD162)</f>
        <v/>
      </c>
      <c r="E156" s="40">
        <f>CHOOSE(Plan!$K$5,COUNTIF('Calc Smart'!C162:N162,"&gt;0"),COUNTIF('Calc Avalanche'!C162:N162,"&gt;0"),COUNTIF('Calc Snowball'!C162:N162,"&gt;0"),COUNTIF('Calc Cashflow'!C162:N162,"&gt;0"))</f>
        <v/>
      </c>
      <c r="F156" s="65">
        <f>CHOOSE(Plan!$K$5,'Calc Smart'!C162,'Calc Avalanche'!C162,'Calc Snowball'!C162,'Calc Cashflow'!C162)</f>
        <v/>
      </c>
      <c r="G156" s="65">
        <f>CHOOSE(Plan!$K$5,'Calc Smart'!D162,'Calc Avalanche'!D162,'Calc Snowball'!D162,'Calc Cashflow'!D162)</f>
        <v/>
      </c>
      <c r="H156" s="65">
        <f>CHOOSE(Plan!$K$5,'Calc Smart'!E162,'Calc Avalanche'!E162,'Calc Snowball'!E162,'Calc Cashflow'!E162)</f>
        <v/>
      </c>
      <c r="I156" s="65">
        <f>CHOOSE(Plan!$K$5,'Calc Smart'!F162,'Calc Avalanche'!F162,'Calc Snowball'!F162,'Calc Cashflow'!F162)</f>
        <v/>
      </c>
      <c r="J156" s="65">
        <f>CHOOSE(Plan!$K$5,'Calc Smart'!G162,'Calc Avalanche'!G162,'Calc Snowball'!G162,'Calc Cashflow'!G162)</f>
        <v/>
      </c>
      <c r="K156" s="65">
        <f>CHOOSE(Plan!$K$5,'Calc Smart'!H162,'Calc Avalanche'!H162,'Calc Snowball'!H162,'Calc Cashflow'!H162)</f>
        <v/>
      </c>
      <c r="L156" s="65">
        <f>CHOOSE(Plan!$K$5,'Calc Smart'!I162,'Calc Avalanche'!I162,'Calc Snowball'!I162,'Calc Cashflow'!I162)</f>
        <v/>
      </c>
      <c r="M156" s="65">
        <f>CHOOSE(Plan!$K$5,'Calc Smart'!J162,'Calc Avalanche'!J162,'Calc Snowball'!J162,'Calc Cashflow'!J162)</f>
        <v/>
      </c>
      <c r="N156" s="65">
        <f>CHOOSE(Plan!$K$5,'Calc Smart'!K162,'Calc Avalanche'!K162,'Calc Snowball'!K162,'Calc Cashflow'!K162)</f>
        <v/>
      </c>
      <c r="O156" s="65">
        <f>CHOOSE(Plan!$K$5,'Calc Smart'!L162,'Calc Avalanche'!L162,'Calc Snowball'!L162,'Calc Cashflow'!L162)</f>
        <v/>
      </c>
      <c r="P156" s="65">
        <f>CHOOSE(Plan!$K$5,'Calc Smart'!M162,'Calc Avalanche'!M162,'Calc Snowball'!M162,'Calc Cashflow'!M162)</f>
        <v/>
      </c>
      <c r="Q156" s="65">
        <f>CHOOSE(Plan!$K$5,'Calc Smart'!N162,'Calc Avalanche'!N162,'Calc Snowball'!N162,'Calc Cashflow'!N162)</f>
        <v/>
      </c>
    </row>
    <row r="157">
      <c r="B157" s="66">
        <f>EDATE(Plan!$C$6,151)</f>
        <v/>
      </c>
      <c r="C157" s="32">
        <f>CHOOSE(Plan!$K$5,'Calc Smart'!AE163,'Calc Avalanche'!AE163,'Calc Snowball'!AE163,'Calc Cashflow'!AE163)</f>
        <v/>
      </c>
      <c r="D157" s="32">
        <f>CHOOSE(Plan!$K$5,'Calc Smart'!AD163,'Calc Avalanche'!AD163,'Calc Snowball'!AD163,'Calc Cashflow'!AD163)</f>
        <v/>
      </c>
      <c r="E157" s="43">
        <f>CHOOSE(Plan!$K$5,COUNTIF('Calc Smart'!C163:N163,"&gt;0"),COUNTIF('Calc Avalanche'!C163:N163,"&gt;0"),COUNTIF('Calc Snowball'!C163:N163,"&gt;0"),COUNTIF('Calc Cashflow'!C163:N163,"&gt;0"))</f>
        <v/>
      </c>
      <c r="F157" s="67">
        <f>CHOOSE(Plan!$K$5,'Calc Smart'!C163,'Calc Avalanche'!C163,'Calc Snowball'!C163,'Calc Cashflow'!C163)</f>
        <v/>
      </c>
      <c r="G157" s="67">
        <f>CHOOSE(Plan!$K$5,'Calc Smart'!D163,'Calc Avalanche'!D163,'Calc Snowball'!D163,'Calc Cashflow'!D163)</f>
        <v/>
      </c>
      <c r="H157" s="67">
        <f>CHOOSE(Plan!$K$5,'Calc Smart'!E163,'Calc Avalanche'!E163,'Calc Snowball'!E163,'Calc Cashflow'!E163)</f>
        <v/>
      </c>
      <c r="I157" s="67">
        <f>CHOOSE(Plan!$K$5,'Calc Smart'!F163,'Calc Avalanche'!F163,'Calc Snowball'!F163,'Calc Cashflow'!F163)</f>
        <v/>
      </c>
      <c r="J157" s="67">
        <f>CHOOSE(Plan!$K$5,'Calc Smart'!G163,'Calc Avalanche'!G163,'Calc Snowball'!G163,'Calc Cashflow'!G163)</f>
        <v/>
      </c>
      <c r="K157" s="67">
        <f>CHOOSE(Plan!$K$5,'Calc Smart'!H163,'Calc Avalanche'!H163,'Calc Snowball'!H163,'Calc Cashflow'!H163)</f>
        <v/>
      </c>
      <c r="L157" s="67">
        <f>CHOOSE(Plan!$K$5,'Calc Smart'!I163,'Calc Avalanche'!I163,'Calc Snowball'!I163,'Calc Cashflow'!I163)</f>
        <v/>
      </c>
      <c r="M157" s="67">
        <f>CHOOSE(Plan!$K$5,'Calc Smart'!J163,'Calc Avalanche'!J163,'Calc Snowball'!J163,'Calc Cashflow'!J163)</f>
        <v/>
      </c>
      <c r="N157" s="67">
        <f>CHOOSE(Plan!$K$5,'Calc Smart'!K163,'Calc Avalanche'!K163,'Calc Snowball'!K163,'Calc Cashflow'!K163)</f>
        <v/>
      </c>
      <c r="O157" s="67">
        <f>CHOOSE(Plan!$K$5,'Calc Smart'!L163,'Calc Avalanche'!L163,'Calc Snowball'!L163,'Calc Cashflow'!L163)</f>
        <v/>
      </c>
      <c r="P157" s="67">
        <f>CHOOSE(Plan!$K$5,'Calc Smart'!M163,'Calc Avalanche'!M163,'Calc Snowball'!M163,'Calc Cashflow'!M163)</f>
        <v/>
      </c>
      <c r="Q157" s="67">
        <f>CHOOSE(Plan!$K$5,'Calc Smart'!N163,'Calc Avalanche'!N163,'Calc Snowball'!N163,'Calc Cashflow'!N163)</f>
        <v/>
      </c>
    </row>
    <row r="158">
      <c r="B158" s="64">
        <f>EDATE(Plan!$C$6,152)</f>
        <v/>
      </c>
      <c r="C158" s="31">
        <f>CHOOSE(Plan!$K$5,'Calc Smart'!AE164,'Calc Avalanche'!AE164,'Calc Snowball'!AE164,'Calc Cashflow'!AE164)</f>
        <v/>
      </c>
      <c r="D158" s="31">
        <f>CHOOSE(Plan!$K$5,'Calc Smart'!AD164,'Calc Avalanche'!AD164,'Calc Snowball'!AD164,'Calc Cashflow'!AD164)</f>
        <v/>
      </c>
      <c r="E158" s="40">
        <f>CHOOSE(Plan!$K$5,COUNTIF('Calc Smart'!C164:N164,"&gt;0"),COUNTIF('Calc Avalanche'!C164:N164,"&gt;0"),COUNTIF('Calc Snowball'!C164:N164,"&gt;0"),COUNTIF('Calc Cashflow'!C164:N164,"&gt;0"))</f>
        <v/>
      </c>
      <c r="F158" s="65">
        <f>CHOOSE(Plan!$K$5,'Calc Smart'!C164,'Calc Avalanche'!C164,'Calc Snowball'!C164,'Calc Cashflow'!C164)</f>
        <v/>
      </c>
      <c r="G158" s="65">
        <f>CHOOSE(Plan!$K$5,'Calc Smart'!D164,'Calc Avalanche'!D164,'Calc Snowball'!D164,'Calc Cashflow'!D164)</f>
        <v/>
      </c>
      <c r="H158" s="65">
        <f>CHOOSE(Plan!$K$5,'Calc Smart'!E164,'Calc Avalanche'!E164,'Calc Snowball'!E164,'Calc Cashflow'!E164)</f>
        <v/>
      </c>
      <c r="I158" s="65">
        <f>CHOOSE(Plan!$K$5,'Calc Smart'!F164,'Calc Avalanche'!F164,'Calc Snowball'!F164,'Calc Cashflow'!F164)</f>
        <v/>
      </c>
      <c r="J158" s="65">
        <f>CHOOSE(Plan!$K$5,'Calc Smart'!G164,'Calc Avalanche'!G164,'Calc Snowball'!G164,'Calc Cashflow'!G164)</f>
        <v/>
      </c>
      <c r="K158" s="65">
        <f>CHOOSE(Plan!$K$5,'Calc Smart'!H164,'Calc Avalanche'!H164,'Calc Snowball'!H164,'Calc Cashflow'!H164)</f>
        <v/>
      </c>
      <c r="L158" s="65">
        <f>CHOOSE(Plan!$K$5,'Calc Smart'!I164,'Calc Avalanche'!I164,'Calc Snowball'!I164,'Calc Cashflow'!I164)</f>
        <v/>
      </c>
      <c r="M158" s="65">
        <f>CHOOSE(Plan!$K$5,'Calc Smart'!J164,'Calc Avalanche'!J164,'Calc Snowball'!J164,'Calc Cashflow'!J164)</f>
        <v/>
      </c>
      <c r="N158" s="65">
        <f>CHOOSE(Plan!$K$5,'Calc Smart'!K164,'Calc Avalanche'!K164,'Calc Snowball'!K164,'Calc Cashflow'!K164)</f>
        <v/>
      </c>
      <c r="O158" s="65">
        <f>CHOOSE(Plan!$K$5,'Calc Smart'!L164,'Calc Avalanche'!L164,'Calc Snowball'!L164,'Calc Cashflow'!L164)</f>
        <v/>
      </c>
      <c r="P158" s="65">
        <f>CHOOSE(Plan!$K$5,'Calc Smart'!M164,'Calc Avalanche'!M164,'Calc Snowball'!M164,'Calc Cashflow'!M164)</f>
        <v/>
      </c>
      <c r="Q158" s="65">
        <f>CHOOSE(Plan!$K$5,'Calc Smart'!N164,'Calc Avalanche'!N164,'Calc Snowball'!N164,'Calc Cashflow'!N164)</f>
        <v/>
      </c>
    </row>
    <row r="159">
      <c r="B159" s="66">
        <f>EDATE(Plan!$C$6,153)</f>
        <v/>
      </c>
      <c r="C159" s="32">
        <f>CHOOSE(Plan!$K$5,'Calc Smart'!AE165,'Calc Avalanche'!AE165,'Calc Snowball'!AE165,'Calc Cashflow'!AE165)</f>
        <v/>
      </c>
      <c r="D159" s="32">
        <f>CHOOSE(Plan!$K$5,'Calc Smart'!AD165,'Calc Avalanche'!AD165,'Calc Snowball'!AD165,'Calc Cashflow'!AD165)</f>
        <v/>
      </c>
      <c r="E159" s="43">
        <f>CHOOSE(Plan!$K$5,COUNTIF('Calc Smart'!C165:N165,"&gt;0"),COUNTIF('Calc Avalanche'!C165:N165,"&gt;0"),COUNTIF('Calc Snowball'!C165:N165,"&gt;0"),COUNTIF('Calc Cashflow'!C165:N165,"&gt;0"))</f>
        <v/>
      </c>
      <c r="F159" s="67">
        <f>CHOOSE(Plan!$K$5,'Calc Smart'!C165,'Calc Avalanche'!C165,'Calc Snowball'!C165,'Calc Cashflow'!C165)</f>
        <v/>
      </c>
      <c r="G159" s="67">
        <f>CHOOSE(Plan!$K$5,'Calc Smart'!D165,'Calc Avalanche'!D165,'Calc Snowball'!D165,'Calc Cashflow'!D165)</f>
        <v/>
      </c>
      <c r="H159" s="67">
        <f>CHOOSE(Plan!$K$5,'Calc Smart'!E165,'Calc Avalanche'!E165,'Calc Snowball'!E165,'Calc Cashflow'!E165)</f>
        <v/>
      </c>
      <c r="I159" s="67">
        <f>CHOOSE(Plan!$K$5,'Calc Smart'!F165,'Calc Avalanche'!F165,'Calc Snowball'!F165,'Calc Cashflow'!F165)</f>
        <v/>
      </c>
      <c r="J159" s="67">
        <f>CHOOSE(Plan!$K$5,'Calc Smart'!G165,'Calc Avalanche'!G165,'Calc Snowball'!G165,'Calc Cashflow'!G165)</f>
        <v/>
      </c>
      <c r="K159" s="67">
        <f>CHOOSE(Plan!$K$5,'Calc Smart'!H165,'Calc Avalanche'!H165,'Calc Snowball'!H165,'Calc Cashflow'!H165)</f>
        <v/>
      </c>
      <c r="L159" s="67">
        <f>CHOOSE(Plan!$K$5,'Calc Smart'!I165,'Calc Avalanche'!I165,'Calc Snowball'!I165,'Calc Cashflow'!I165)</f>
        <v/>
      </c>
      <c r="M159" s="67">
        <f>CHOOSE(Plan!$K$5,'Calc Smart'!J165,'Calc Avalanche'!J165,'Calc Snowball'!J165,'Calc Cashflow'!J165)</f>
        <v/>
      </c>
      <c r="N159" s="67">
        <f>CHOOSE(Plan!$K$5,'Calc Smart'!K165,'Calc Avalanche'!K165,'Calc Snowball'!K165,'Calc Cashflow'!K165)</f>
        <v/>
      </c>
      <c r="O159" s="67">
        <f>CHOOSE(Plan!$K$5,'Calc Smart'!L165,'Calc Avalanche'!L165,'Calc Snowball'!L165,'Calc Cashflow'!L165)</f>
        <v/>
      </c>
      <c r="P159" s="67">
        <f>CHOOSE(Plan!$K$5,'Calc Smart'!M165,'Calc Avalanche'!M165,'Calc Snowball'!M165,'Calc Cashflow'!M165)</f>
        <v/>
      </c>
      <c r="Q159" s="67">
        <f>CHOOSE(Plan!$K$5,'Calc Smart'!N165,'Calc Avalanche'!N165,'Calc Snowball'!N165,'Calc Cashflow'!N165)</f>
        <v/>
      </c>
    </row>
    <row r="160">
      <c r="B160" s="64">
        <f>EDATE(Plan!$C$6,154)</f>
        <v/>
      </c>
      <c r="C160" s="31">
        <f>CHOOSE(Plan!$K$5,'Calc Smart'!AE166,'Calc Avalanche'!AE166,'Calc Snowball'!AE166,'Calc Cashflow'!AE166)</f>
        <v/>
      </c>
      <c r="D160" s="31">
        <f>CHOOSE(Plan!$K$5,'Calc Smart'!AD166,'Calc Avalanche'!AD166,'Calc Snowball'!AD166,'Calc Cashflow'!AD166)</f>
        <v/>
      </c>
      <c r="E160" s="40">
        <f>CHOOSE(Plan!$K$5,COUNTIF('Calc Smart'!C166:N166,"&gt;0"),COUNTIF('Calc Avalanche'!C166:N166,"&gt;0"),COUNTIF('Calc Snowball'!C166:N166,"&gt;0"),COUNTIF('Calc Cashflow'!C166:N166,"&gt;0"))</f>
        <v/>
      </c>
      <c r="F160" s="65">
        <f>CHOOSE(Plan!$K$5,'Calc Smart'!C166,'Calc Avalanche'!C166,'Calc Snowball'!C166,'Calc Cashflow'!C166)</f>
        <v/>
      </c>
      <c r="G160" s="65">
        <f>CHOOSE(Plan!$K$5,'Calc Smart'!D166,'Calc Avalanche'!D166,'Calc Snowball'!D166,'Calc Cashflow'!D166)</f>
        <v/>
      </c>
      <c r="H160" s="65">
        <f>CHOOSE(Plan!$K$5,'Calc Smart'!E166,'Calc Avalanche'!E166,'Calc Snowball'!E166,'Calc Cashflow'!E166)</f>
        <v/>
      </c>
      <c r="I160" s="65">
        <f>CHOOSE(Plan!$K$5,'Calc Smart'!F166,'Calc Avalanche'!F166,'Calc Snowball'!F166,'Calc Cashflow'!F166)</f>
        <v/>
      </c>
      <c r="J160" s="65">
        <f>CHOOSE(Plan!$K$5,'Calc Smart'!G166,'Calc Avalanche'!G166,'Calc Snowball'!G166,'Calc Cashflow'!G166)</f>
        <v/>
      </c>
      <c r="K160" s="65">
        <f>CHOOSE(Plan!$K$5,'Calc Smart'!H166,'Calc Avalanche'!H166,'Calc Snowball'!H166,'Calc Cashflow'!H166)</f>
        <v/>
      </c>
      <c r="L160" s="65">
        <f>CHOOSE(Plan!$K$5,'Calc Smart'!I166,'Calc Avalanche'!I166,'Calc Snowball'!I166,'Calc Cashflow'!I166)</f>
        <v/>
      </c>
      <c r="M160" s="65">
        <f>CHOOSE(Plan!$K$5,'Calc Smart'!J166,'Calc Avalanche'!J166,'Calc Snowball'!J166,'Calc Cashflow'!J166)</f>
        <v/>
      </c>
      <c r="N160" s="65">
        <f>CHOOSE(Plan!$K$5,'Calc Smart'!K166,'Calc Avalanche'!K166,'Calc Snowball'!K166,'Calc Cashflow'!K166)</f>
        <v/>
      </c>
      <c r="O160" s="65">
        <f>CHOOSE(Plan!$K$5,'Calc Smart'!L166,'Calc Avalanche'!L166,'Calc Snowball'!L166,'Calc Cashflow'!L166)</f>
        <v/>
      </c>
      <c r="P160" s="65">
        <f>CHOOSE(Plan!$K$5,'Calc Smart'!M166,'Calc Avalanche'!M166,'Calc Snowball'!M166,'Calc Cashflow'!M166)</f>
        <v/>
      </c>
      <c r="Q160" s="65">
        <f>CHOOSE(Plan!$K$5,'Calc Smart'!N166,'Calc Avalanche'!N166,'Calc Snowball'!N166,'Calc Cashflow'!N166)</f>
        <v/>
      </c>
    </row>
    <row r="161">
      <c r="B161" s="66">
        <f>EDATE(Plan!$C$6,155)</f>
        <v/>
      </c>
      <c r="C161" s="32">
        <f>CHOOSE(Plan!$K$5,'Calc Smart'!AE167,'Calc Avalanche'!AE167,'Calc Snowball'!AE167,'Calc Cashflow'!AE167)</f>
        <v/>
      </c>
      <c r="D161" s="32">
        <f>CHOOSE(Plan!$K$5,'Calc Smart'!AD167,'Calc Avalanche'!AD167,'Calc Snowball'!AD167,'Calc Cashflow'!AD167)</f>
        <v/>
      </c>
      <c r="E161" s="43">
        <f>CHOOSE(Plan!$K$5,COUNTIF('Calc Smart'!C167:N167,"&gt;0"),COUNTIF('Calc Avalanche'!C167:N167,"&gt;0"),COUNTIF('Calc Snowball'!C167:N167,"&gt;0"),COUNTIF('Calc Cashflow'!C167:N167,"&gt;0"))</f>
        <v/>
      </c>
      <c r="F161" s="67">
        <f>CHOOSE(Plan!$K$5,'Calc Smart'!C167,'Calc Avalanche'!C167,'Calc Snowball'!C167,'Calc Cashflow'!C167)</f>
        <v/>
      </c>
      <c r="G161" s="67">
        <f>CHOOSE(Plan!$K$5,'Calc Smart'!D167,'Calc Avalanche'!D167,'Calc Snowball'!D167,'Calc Cashflow'!D167)</f>
        <v/>
      </c>
      <c r="H161" s="67">
        <f>CHOOSE(Plan!$K$5,'Calc Smart'!E167,'Calc Avalanche'!E167,'Calc Snowball'!E167,'Calc Cashflow'!E167)</f>
        <v/>
      </c>
      <c r="I161" s="67">
        <f>CHOOSE(Plan!$K$5,'Calc Smart'!F167,'Calc Avalanche'!F167,'Calc Snowball'!F167,'Calc Cashflow'!F167)</f>
        <v/>
      </c>
      <c r="J161" s="67">
        <f>CHOOSE(Plan!$K$5,'Calc Smart'!G167,'Calc Avalanche'!G167,'Calc Snowball'!G167,'Calc Cashflow'!G167)</f>
        <v/>
      </c>
      <c r="K161" s="67">
        <f>CHOOSE(Plan!$K$5,'Calc Smart'!H167,'Calc Avalanche'!H167,'Calc Snowball'!H167,'Calc Cashflow'!H167)</f>
        <v/>
      </c>
      <c r="L161" s="67">
        <f>CHOOSE(Plan!$K$5,'Calc Smart'!I167,'Calc Avalanche'!I167,'Calc Snowball'!I167,'Calc Cashflow'!I167)</f>
        <v/>
      </c>
      <c r="M161" s="67">
        <f>CHOOSE(Plan!$K$5,'Calc Smart'!J167,'Calc Avalanche'!J167,'Calc Snowball'!J167,'Calc Cashflow'!J167)</f>
        <v/>
      </c>
      <c r="N161" s="67">
        <f>CHOOSE(Plan!$K$5,'Calc Smart'!K167,'Calc Avalanche'!K167,'Calc Snowball'!K167,'Calc Cashflow'!K167)</f>
        <v/>
      </c>
      <c r="O161" s="67">
        <f>CHOOSE(Plan!$K$5,'Calc Smart'!L167,'Calc Avalanche'!L167,'Calc Snowball'!L167,'Calc Cashflow'!L167)</f>
        <v/>
      </c>
      <c r="P161" s="67">
        <f>CHOOSE(Plan!$K$5,'Calc Smart'!M167,'Calc Avalanche'!M167,'Calc Snowball'!M167,'Calc Cashflow'!M167)</f>
        <v/>
      </c>
      <c r="Q161" s="67">
        <f>CHOOSE(Plan!$K$5,'Calc Smart'!N167,'Calc Avalanche'!N167,'Calc Snowball'!N167,'Calc Cashflow'!N167)</f>
        <v/>
      </c>
    </row>
    <row r="162">
      <c r="B162" s="64">
        <f>EDATE(Plan!$C$6,156)</f>
        <v/>
      </c>
      <c r="C162" s="31">
        <f>CHOOSE(Plan!$K$5,'Calc Smart'!AE168,'Calc Avalanche'!AE168,'Calc Snowball'!AE168,'Calc Cashflow'!AE168)</f>
        <v/>
      </c>
      <c r="D162" s="31">
        <f>CHOOSE(Plan!$K$5,'Calc Smart'!AD168,'Calc Avalanche'!AD168,'Calc Snowball'!AD168,'Calc Cashflow'!AD168)</f>
        <v/>
      </c>
      <c r="E162" s="40">
        <f>CHOOSE(Plan!$K$5,COUNTIF('Calc Smart'!C168:N168,"&gt;0"),COUNTIF('Calc Avalanche'!C168:N168,"&gt;0"),COUNTIF('Calc Snowball'!C168:N168,"&gt;0"),COUNTIF('Calc Cashflow'!C168:N168,"&gt;0"))</f>
        <v/>
      </c>
      <c r="F162" s="65">
        <f>CHOOSE(Plan!$K$5,'Calc Smart'!C168,'Calc Avalanche'!C168,'Calc Snowball'!C168,'Calc Cashflow'!C168)</f>
        <v/>
      </c>
      <c r="G162" s="65">
        <f>CHOOSE(Plan!$K$5,'Calc Smart'!D168,'Calc Avalanche'!D168,'Calc Snowball'!D168,'Calc Cashflow'!D168)</f>
        <v/>
      </c>
      <c r="H162" s="65">
        <f>CHOOSE(Plan!$K$5,'Calc Smart'!E168,'Calc Avalanche'!E168,'Calc Snowball'!E168,'Calc Cashflow'!E168)</f>
        <v/>
      </c>
      <c r="I162" s="65">
        <f>CHOOSE(Plan!$K$5,'Calc Smart'!F168,'Calc Avalanche'!F168,'Calc Snowball'!F168,'Calc Cashflow'!F168)</f>
        <v/>
      </c>
      <c r="J162" s="65">
        <f>CHOOSE(Plan!$K$5,'Calc Smart'!G168,'Calc Avalanche'!G168,'Calc Snowball'!G168,'Calc Cashflow'!G168)</f>
        <v/>
      </c>
      <c r="K162" s="65">
        <f>CHOOSE(Plan!$K$5,'Calc Smart'!H168,'Calc Avalanche'!H168,'Calc Snowball'!H168,'Calc Cashflow'!H168)</f>
        <v/>
      </c>
      <c r="L162" s="65">
        <f>CHOOSE(Plan!$K$5,'Calc Smart'!I168,'Calc Avalanche'!I168,'Calc Snowball'!I168,'Calc Cashflow'!I168)</f>
        <v/>
      </c>
      <c r="M162" s="65">
        <f>CHOOSE(Plan!$K$5,'Calc Smart'!J168,'Calc Avalanche'!J168,'Calc Snowball'!J168,'Calc Cashflow'!J168)</f>
        <v/>
      </c>
      <c r="N162" s="65">
        <f>CHOOSE(Plan!$K$5,'Calc Smart'!K168,'Calc Avalanche'!K168,'Calc Snowball'!K168,'Calc Cashflow'!K168)</f>
        <v/>
      </c>
      <c r="O162" s="65">
        <f>CHOOSE(Plan!$K$5,'Calc Smart'!L168,'Calc Avalanche'!L168,'Calc Snowball'!L168,'Calc Cashflow'!L168)</f>
        <v/>
      </c>
      <c r="P162" s="65">
        <f>CHOOSE(Plan!$K$5,'Calc Smart'!M168,'Calc Avalanche'!M168,'Calc Snowball'!M168,'Calc Cashflow'!M168)</f>
        <v/>
      </c>
      <c r="Q162" s="65">
        <f>CHOOSE(Plan!$K$5,'Calc Smart'!N168,'Calc Avalanche'!N168,'Calc Snowball'!N168,'Calc Cashflow'!N168)</f>
        <v/>
      </c>
    </row>
    <row r="163">
      <c r="B163" s="66">
        <f>EDATE(Plan!$C$6,157)</f>
        <v/>
      </c>
      <c r="C163" s="32">
        <f>CHOOSE(Plan!$K$5,'Calc Smart'!AE169,'Calc Avalanche'!AE169,'Calc Snowball'!AE169,'Calc Cashflow'!AE169)</f>
        <v/>
      </c>
      <c r="D163" s="32">
        <f>CHOOSE(Plan!$K$5,'Calc Smart'!AD169,'Calc Avalanche'!AD169,'Calc Snowball'!AD169,'Calc Cashflow'!AD169)</f>
        <v/>
      </c>
      <c r="E163" s="43">
        <f>CHOOSE(Plan!$K$5,COUNTIF('Calc Smart'!C169:N169,"&gt;0"),COUNTIF('Calc Avalanche'!C169:N169,"&gt;0"),COUNTIF('Calc Snowball'!C169:N169,"&gt;0"),COUNTIF('Calc Cashflow'!C169:N169,"&gt;0"))</f>
        <v/>
      </c>
      <c r="F163" s="67">
        <f>CHOOSE(Plan!$K$5,'Calc Smart'!C169,'Calc Avalanche'!C169,'Calc Snowball'!C169,'Calc Cashflow'!C169)</f>
        <v/>
      </c>
      <c r="G163" s="67">
        <f>CHOOSE(Plan!$K$5,'Calc Smart'!D169,'Calc Avalanche'!D169,'Calc Snowball'!D169,'Calc Cashflow'!D169)</f>
        <v/>
      </c>
      <c r="H163" s="67">
        <f>CHOOSE(Plan!$K$5,'Calc Smart'!E169,'Calc Avalanche'!E169,'Calc Snowball'!E169,'Calc Cashflow'!E169)</f>
        <v/>
      </c>
      <c r="I163" s="67">
        <f>CHOOSE(Plan!$K$5,'Calc Smart'!F169,'Calc Avalanche'!F169,'Calc Snowball'!F169,'Calc Cashflow'!F169)</f>
        <v/>
      </c>
      <c r="J163" s="67">
        <f>CHOOSE(Plan!$K$5,'Calc Smart'!G169,'Calc Avalanche'!G169,'Calc Snowball'!G169,'Calc Cashflow'!G169)</f>
        <v/>
      </c>
      <c r="K163" s="67">
        <f>CHOOSE(Plan!$K$5,'Calc Smart'!H169,'Calc Avalanche'!H169,'Calc Snowball'!H169,'Calc Cashflow'!H169)</f>
        <v/>
      </c>
      <c r="L163" s="67">
        <f>CHOOSE(Plan!$K$5,'Calc Smart'!I169,'Calc Avalanche'!I169,'Calc Snowball'!I169,'Calc Cashflow'!I169)</f>
        <v/>
      </c>
      <c r="M163" s="67">
        <f>CHOOSE(Plan!$K$5,'Calc Smart'!J169,'Calc Avalanche'!J169,'Calc Snowball'!J169,'Calc Cashflow'!J169)</f>
        <v/>
      </c>
      <c r="N163" s="67">
        <f>CHOOSE(Plan!$K$5,'Calc Smart'!K169,'Calc Avalanche'!K169,'Calc Snowball'!K169,'Calc Cashflow'!K169)</f>
        <v/>
      </c>
      <c r="O163" s="67">
        <f>CHOOSE(Plan!$K$5,'Calc Smart'!L169,'Calc Avalanche'!L169,'Calc Snowball'!L169,'Calc Cashflow'!L169)</f>
        <v/>
      </c>
      <c r="P163" s="67">
        <f>CHOOSE(Plan!$K$5,'Calc Smart'!M169,'Calc Avalanche'!M169,'Calc Snowball'!M169,'Calc Cashflow'!M169)</f>
        <v/>
      </c>
      <c r="Q163" s="67">
        <f>CHOOSE(Plan!$K$5,'Calc Smart'!N169,'Calc Avalanche'!N169,'Calc Snowball'!N169,'Calc Cashflow'!N169)</f>
        <v/>
      </c>
    </row>
    <row r="164">
      <c r="B164" s="64">
        <f>EDATE(Plan!$C$6,158)</f>
        <v/>
      </c>
      <c r="C164" s="31">
        <f>CHOOSE(Plan!$K$5,'Calc Smart'!AE170,'Calc Avalanche'!AE170,'Calc Snowball'!AE170,'Calc Cashflow'!AE170)</f>
        <v/>
      </c>
      <c r="D164" s="31">
        <f>CHOOSE(Plan!$K$5,'Calc Smart'!AD170,'Calc Avalanche'!AD170,'Calc Snowball'!AD170,'Calc Cashflow'!AD170)</f>
        <v/>
      </c>
      <c r="E164" s="40">
        <f>CHOOSE(Plan!$K$5,COUNTIF('Calc Smart'!C170:N170,"&gt;0"),COUNTIF('Calc Avalanche'!C170:N170,"&gt;0"),COUNTIF('Calc Snowball'!C170:N170,"&gt;0"),COUNTIF('Calc Cashflow'!C170:N170,"&gt;0"))</f>
        <v/>
      </c>
      <c r="F164" s="65">
        <f>CHOOSE(Plan!$K$5,'Calc Smart'!C170,'Calc Avalanche'!C170,'Calc Snowball'!C170,'Calc Cashflow'!C170)</f>
        <v/>
      </c>
      <c r="G164" s="65">
        <f>CHOOSE(Plan!$K$5,'Calc Smart'!D170,'Calc Avalanche'!D170,'Calc Snowball'!D170,'Calc Cashflow'!D170)</f>
        <v/>
      </c>
      <c r="H164" s="65">
        <f>CHOOSE(Plan!$K$5,'Calc Smart'!E170,'Calc Avalanche'!E170,'Calc Snowball'!E170,'Calc Cashflow'!E170)</f>
        <v/>
      </c>
      <c r="I164" s="65">
        <f>CHOOSE(Plan!$K$5,'Calc Smart'!F170,'Calc Avalanche'!F170,'Calc Snowball'!F170,'Calc Cashflow'!F170)</f>
        <v/>
      </c>
      <c r="J164" s="65">
        <f>CHOOSE(Plan!$K$5,'Calc Smart'!G170,'Calc Avalanche'!G170,'Calc Snowball'!G170,'Calc Cashflow'!G170)</f>
        <v/>
      </c>
      <c r="K164" s="65">
        <f>CHOOSE(Plan!$K$5,'Calc Smart'!H170,'Calc Avalanche'!H170,'Calc Snowball'!H170,'Calc Cashflow'!H170)</f>
        <v/>
      </c>
      <c r="L164" s="65">
        <f>CHOOSE(Plan!$K$5,'Calc Smart'!I170,'Calc Avalanche'!I170,'Calc Snowball'!I170,'Calc Cashflow'!I170)</f>
        <v/>
      </c>
      <c r="M164" s="65">
        <f>CHOOSE(Plan!$K$5,'Calc Smart'!J170,'Calc Avalanche'!J170,'Calc Snowball'!J170,'Calc Cashflow'!J170)</f>
        <v/>
      </c>
      <c r="N164" s="65">
        <f>CHOOSE(Plan!$K$5,'Calc Smart'!K170,'Calc Avalanche'!K170,'Calc Snowball'!K170,'Calc Cashflow'!K170)</f>
        <v/>
      </c>
      <c r="O164" s="65">
        <f>CHOOSE(Plan!$K$5,'Calc Smart'!L170,'Calc Avalanche'!L170,'Calc Snowball'!L170,'Calc Cashflow'!L170)</f>
        <v/>
      </c>
      <c r="P164" s="65">
        <f>CHOOSE(Plan!$K$5,'Calc Smart'!M170,'Calc Avalanche'!M170,'Calc Snowball'!M170,'Calc Cashflow'!M170)</f>
        <v/>
      </c>
      <c r="Q164" s="65">
        <f>CHOOSE(Plan!$K$5,'Calc Smart'!N170,'Calc Avalanche'!N170,'Calc Snowball'!N170,'Calc Cashflow'!N170)</f>
        <v/>
      </c>
    </row>
    <row r="165">
      <c r="B165" s="66">
        <f>EDATE(Plan!$C$6,159)</f>
        <v/>
      </c>
      <c r="C165" s="32">
        <f>CHOOSE(Plan!$K$5,'Calc Smart'!AE171,'Calc Avalanche'!AE171,'Calc Snowball'!AE171,'Calc Cashflow'!AE171)</f>
        <v/>
      </c>
      <c r="D165" s="32">
        <f>CHOOSE(Plan!$K$5,'Calc Smart'!AD171,'Calc Avalanche'!AD171,'Calc Snowball'!AD171,'Calc Cashflow'!AD171)</f>
        <v/>
      </c>
      <c r="E165" s="43">
        <f>CHOOSE(Plan!$K$5,COUNTIF('Calc Smart'!C171:N171,"&gt;0"),COUNTIF('Calc Avalanche'!C171:N171,"&gt;0"),COUNTIF('Calc Snowball'!C171:N171,"&gt;0"),COUNTIF('Calc Cashflow'!C171:N171,"&gt;0"))</f>
        <v/>
      </c>
      <c r="F165" s="67">
        <f>CHOOSE(Plan!$K$5,'Calc Smart'!C171,'Calc Avalanche'!C171,'Calc Snowball'!C171,'Calc Cashflow'!C171)</f>
        <v/>
      </c>
      <c r="G165" s="67">
        <f>CHOOSE(Plan!$K$5,'Calc Smart'!D171,'Calc Avalanche'!D171,'Calc Snowball'!D171,'Calc Cashflow'!D171)</f>
        <v/>
      </c>
      <c r="H165" s="67">
        <f>CHOOSE(Plan!$K$5,'Calc Smart'!E171,'Calc Avalanche'!E171,'Calc Snowball'!E171,'Calc Cashflow'!E171)</f>
        <v/>
      </c>
      <c r="I165" s="67">
        <f>CHOOSE(Plan!$K$5,'Calc Smart'!F171,'Calc Avalanche'!F171,'Calc Snowball'!F171,'Calc Cashflow'!F171)</f>
        <v/>
      </c>
      <c r="J165" s="67">
        <f>CHOOSE(Plan!$K$5,'Calc Smart'!G171,'Calc Avalanche'!G171,'Calc Snowball'!G171,'Calc Cashflow'!G171)</f>
        <v/>
      </c>
      <c r="K165" s="67">
        <f>CHOOSE(Plan!$K$5,'Calc Smart'!H171,'Calc Avalanche'!H171,'Calc Snowball'!H171,'Calc Cashflow'!H171)</f>
        <v/>
      </c>
      <c r="L165" s="67">
        <f>CHOOSE(Plan!$K$5,'Calc Smart'!I171,'Calc Avalanche'!I171,'Calc Snowball'!I171,'Calc Cashflow'!I171)</f>
        <v/>
      </c>
      <c r="M165" s="67">
        <f>CHOOSE(Plan!$K$5,'Calc Smart'!J171,'Calc Avalanche'!J171,'Calc Snowball'!J171,'Calc Cashflow'!J171)</f>
        <v/>
      </c>
      <c r="N165" s="67">
        <f>CHOOSE(Plan!$K$5,'Calc Smart'!K171,'Calc Avalanche'!K171,'Calc Snowball'!K171,'Calc Cashflow'!K171)</f>
        <v/>
      </c>
      <c r="O165" s="67">
        <f>CHOOSE(Plan!$K$5,'Calc Smart'!L171,'Calc Avalanche'!L171,'Calc Snowball'!L171,'Calc Cashflow'!L171)</f>
        <v/>
      </c>
      <c r="P165" s="67">
        <f>CHOOSE(Plan!$K$5,'Calc Smart'!M171,'Calc Avalanche'!M171,'Calc Snowball'!M171,'Calc Cashflow'!M171)</f>
        <v/>
      </c>
      <c r="Q165" s="67">
        <f>CHOOSE(Plan!$K$5,'Calc Smart'!N171,'Calc Avalanche'!N171,'Calc Snowball'!N171,'Calc Cashflow'!N171)</f>
        <v/>
      </c>
    </row>
    <row r="166">
      <c r="B166" s="64">
        <f>EDATE(Plan!$C$6,160)</f>
        <v/>
      </c>
      <c r="C166" s="31">
        <f>CHOOSE(Plan!$K$5,'Calc Smart'!AE172,'Calc Avalanche'!AE172,'Calc Snowball'!AE172,'Calc Cashflow'!AE172)</f>
        <v/>
      </c>
      <c r="D166" s="31">
        <f>CHOOSE(Plan!$K$5,'Calc Smart'!AD172,'Calc Avalanche'!AD172,'Calc Snowball'!AD172,'Calc Cashflow'!AD172)</f>
        <v/>
      </c>
      <c r="E166" s="40">
        <f>CHOOSE(Plan!$K$5,COUNTIF('Calc Smart'!C172:N172,"&gt;0"),COUNTIF('Calc Avalanche'!C172:N172,"&gt;0"),COUNTIF('Calc Snowball'!C172:N172,"&gt;0"),COUNTIF('Calc Cashflow'!C172:N172,"&gt;0"))</f>
        <v/>
      </c>
      <c r="F166" s="65">
        <f>CHOOSE(Plan!$K$5,'Calc Smart'!C172,'Calc Avalanche'!C172,'Calc Snowball'!C172,'Calc Cashflow'!C172)</f>
        <v/>
      </c>
      <c r="G166" s="65">
        <f>CHOOSE(Plan!$K$5,'Calc Smart'!D172,'Calc Avalanche'!D172,'Calc Snowball'!D172,'Calc Cashflow'!D172)</f>
        <v/>
      </c>
      <c r="H166" s="65">
        <f>CHOOSE(Plan!$K$5,'Calc Smart'!E172,'Calc Avalanche'!E172,'Calc Snowball'!E172,'Calc Cashflow'!E172)</f>
        <v/>
      </c>
      <c r="I166" s="65">
        <f>CHOOSE(Plan!$K$5,'Calc Smart'!F172,'Calc Avalanche'!F172,'Calc Snowball'!F172,'Calc Cashflow'!F172)</f>
        <v/>
      </c>
      <c r="J166" s="65">
        <f>CHOOSE(Plan!$K$5,'Calc Smart'!G172,'Calc Avalanche'!G172,'Calc Snowball'!G172,'Calc Cashflow'!G172)</f>
        <v/>
      </c>
      <c r="K166" s="65">
        <f>CHOOSE(Plan!$K$5,'Calc Smart'!H172,'Calc Avalanche'!H172,'Calc Snowball'!H172,'Calc Cashflow'!H172)</f>
        <v/>
      </c>
      <c r="L166" s="65">
        <f>CHOOSE(Plan!$K$5,'Calc Smart'!I172,'Calc Avalanche'!I172,'Calc Snowball'!I172,'Calc Cashflow'!I172)</f>
        <v/>
      </c>
      <c r="M166" s="65">
        <f>CHOOSE(Plan!$K$5,'Calc Smart'!J172,'Calc Avalanche'!J172,'Calc Snowball'!J172,'Calc Cashflow'!J172)</f>
        <v/>
      </c>
      <c r="N166" s="65">
        <f>CHOOSE(Plan!$K$5,'Calc Smart'!K172,'Calc Avalanche'!K172,'Calc Snowball'!K172,'Calc Cashflow'!K172)</f>
        <v/>
      </c>
      <c r="O166" s="65">
        <f>CHOOSE(Plan!$K$5,'Calc Smart'!L172,'Calc Avalanche'!L172,'Calc Snowball'!L172,'Calc Cashflow'!L172)</f>
        <v/>
      </c>
      <c r="P166" s="65">
        <f>CHOOSE(Plan!$K$5,'Calc Smart'!M172,'Calc Avalanche'!M172,'Calc Snowball'!M172,'Calc Cashflow'!M172)</f>
        <v/>
      </c>
      <c r="Q166" s="65">
        <f>CHOOSE(Plan!$K$5,'Calc Smart'!N172,'Calc Avalanche'!N172,'Calc Snowball'!N172,'Calc Cashflow'!N172)</f>
        <v/>
      </c>
    </row>
    <row r="167">
      <c r="B167" s="66">
        <f>EDATE(Plan!$C$6,161)</f>
        <v/>
      </c>
      <c r="C167" s="32">
        <f>CHOOSE(Plan!$K$5,'Calc Smart'!AE173,'Calc Avalanche'!AE173,'Calc Snowball'!AE173,'Calc Cashflow'!AE173)</f>
        <v/>
      </c>
      <c r="D167" s="32">
        <f>CHOOSE(Plan!$K$5,'Calc Smart'!AD173,'Calc Avalanche'!AD173,'Calc Snowball'!AD173,'Calc Cashflow'!AD173)</f>
        <v/>
      </c>
      <c r="E167" s="43">
        <f>CHOOSE(Plan!$K$5,COUNTIF('Calc Smart'!C173:N173,"&gt;0"),COUNTIF('Calc Avalanche'!C173:N173,"&gt;0"),COUNTIF('Calc Snowball'!C173:N173,"&gt;0"),COUNTIF('Calc Cashflow'!C173:N173,"&gt;0"))</f>
        <v/>
      </c>
      <c r="F167" s="67">
        <f>CHOOSE(Plan!$K$5,'Calc Smart'!C173,'Calc Avalanche'!C173,'Calc Snowball'!C173,'Calc Cashflow'!C173)</f>
        <v/>
      </c>
      <c r="G167" s="67">
        <f>CHOOSE(Plan!$K$5,'Calc Smart'!D173,'Calc Avalanche'!D173,'Calc Snowball'!D173,'Calc Cashflow'!D173)</f>
        <v/>
      </c>
      <c r="H167" s="67">
        <f>CHOOSE(Plan!$K$5,'Calc Smart'!E173,'Calc Avalanche'!E173,'Calc Snowball'!E173,'Calc Cashflow'!E173)</f>
        <v/>
      </c>
      <c r="I167" s="67">
        <f>CHOOSE(Plan!$K$5,'Calc Smart'!F173,'Calc Avalanche'!F173,'Calc Snowball'!F173,'Calc Cashflow'!F173)</f>
        <v/>
      </c>
      <c r="J167" s="67">
        <f>CHOOSE(Plan!$K$5,'Calc Smart'!G173,'Calc Avalanche'!G173,'Calc Snowball'!G173,'Calc Cashflow'!G173)</f>
        <v/>
      </c>
      <c r="K167" s="67">
        <f>CHOOSE(Plan!$K$5,'Calc Smart'!H173,'Calc Avalanche'!H173,'Calc Snowball'!H173,'Calc Cashflow'!H173)</f>
        <v/>
      </c>
      <c r="L167" s="67">
        <f>CHOOSE(Plan!$K$5,'Calc Smart'!I173,'Calc Avalanche'!I173,'Calc Snowball'!I173,'Calc Cashflow'!I173)</f>
        <v/>
      </c>
      <c r="M167" s="67">
        <f>CHOOSE(Plan!$K$5,'Calc Smart'!J173,'Calc Avalanche'!J173,'Calc Snowball'!J173,'Calc Cashflow'!J173)</f>
        <v/>
      </c>
      <c r="N167" s="67">
        <f>CHOOSE(Plan!$K$5,'Calc Smart'!K173,'Calc Avalanche'!K173,'Calc Snowball'!K173,'Calc Cashflow'!K173)</f>
        <v/>
      </c>
      <c r="O167" s="67">
        <f>CHOOSE(Plan!$K$5,'Calc Smart'!L173,'Calc Avalanche'!L173,'Calc Snowball'!L173,'Calc Cashflow'!L173)</f>
        <v/>
      </c>
      <c r="P167" s="67">
        <f>CHOOSE(Plan!$K$5,'Calc Smart'!M173,'Calc Avalanche'!M173,'Calc Snowball'!M173,'Calc Cashflow'!M173)</f>
        <v/>
      </c>
      <c r="Q167" s="67">
        <f>CHOOSE(Plan!$K$5,'Calc Smart'!N173,'Calc Avalanche'!N173,'Calc Snowball'!N173,'Calc Cashflow'!N173)</f>
        <v/>
      </c>
    </row>
    <row r="168">
      <c r="B168" s="64">
        <f>EDATE(Plan!$C$6,162)</f>
        <v/>
      </c>
      <c r="C168" s="31">
        <f>CHOOSE(Plan!$K$5,'Calc Smart'!AE174,'Calc Avalanche'!AE174,'Calc Snowball'!AE174,'Calc Cashflow'!AE174)</f>
        <v/>
      </c>
      <c r="D168" s="31">
        <f>CHOOSE(Plan!$K$5,'Calc Smart'!AD174,'Calc Avalanche'!AD174,'Calc Snowball'!AD174,'Calc Cashflow'!AD174)</f>
        <v/>
      </c>
      <c r="E168" s="40">
        <f>CHOOSE(Plan!$K$5,COUNTIF('Calc Smart'!C174:N174,"&gt;0"),COUNTIF('Calc Avalanche'!C174:N174,"&gt;0"),COUNTIF('Calc Snowball'!C174:N174,"&gt;0"),COUNTIF('Calc Cashflow'!C174:N174,"&gt;0"))</f>
        <v/>
      </c>
      <c r="F168" s="65">
        <f>CHOOSE(Plan!$K$5,'Calc Smart'!C174,'Calc Avalanche'!C174,'Calc Snowball'!C174,'Calc Cashflow'!C174)</f>
        <v/>
      </c>
      <c r="G168" s="65">
        <f>CHOOSE(Plan!$K$5,'Calc Smart'!D174,'Calc Avalanche'!D174,'Calc Snowball'!D174,'Calc Cashflow'!D174)</f>
        <v/>
      </c>
      <c r="H168" s="65">
        <f>CHOOSE(Plan!$K$5,'Calc Smart'!E174,'Calc Avalanche'!E174,'Calc Snowball'!E174,'Calc Cashflow'!E174)</f>
        <v/>
      </c>
      <c r="I168" s="65">
        <f>CHOOSE(Plan!$K$5,'Calc Smart'!F174,'Calc Avalanche'!F174,'Calc Snowball'!F174,'Calc Cashflow'!F174)</f>
        <v/>
      </c>
      <c r="J168" s="65">
        <f>CHOOSE(Plan!$K$5,'Calc Smart'!G174,'Calc Avalanche'!G174,'Calc Snowball'!G174,'Calc Cashflow'!G174)</f>
        <v/>
      </c>
      <c r="K168" s="65">
        <f>CHOOSE(Plan!$K$5,'Calc Smart'!H174,'Calc Avalanche'!H174,'Calc Snowball'!H174,'Calc Cashflow'!H174)</f>
        <v/>
      </c>
      <c r="L168" s="65">
        <f>CHOOSE(Plan!$K$5,'Calc Smart'!I174,'Calc Avalanche'!I174,'Calc Snowball'!I174,'Calc Cashflow'!I174)</f>
        <v/>
      </c>
      <c r="M168" s="65">
        <f>CHOOSE(Plan!$K$5,'Calc Smart'!J174,'Calc Avalanche'!J174,'Calc Snowball'!J174,'Calc Cashflow'!J174)</f>
        <v/>
      </c>
      <c r="N168" s="65">
        <f>CHOOSE(Plan!$K$5,'Calc Smart'!K174,'Calc Avalanche'!K174,'Calc Snowball'!K174,'Calc Cashflow'!K174)</f>
        <v/>
      </c>
      <c r="O168" s="65">
        <f>CHOOSE(Plan!$K$5,'Calc Smart'!L174,'Calc Avalanche'!L174,'Calc Snowball'!L174,'Calc Cashflow'!L174)</f>
        <v/>
      </c>
      <c r="P168" s="65">
        <f>CHOOSE(Plan!$K$5,'Calc Smart'!M174,'Calc Avalanche'!M174,'Calc Snowball'!M174,'Calc Cashflow'!M174)</f>
        <v/>
      </c>
      <c r="Q168" s="65">
        <f>CHOOSE(Plan!$K$5,'Calc Smart'!N174,'Calc Avalanche'!N174,'Calc Snowball'!N174,'Calc Cashflow'!N174)</f>
        <v/>
      </c>
    </row>
    <row r="169">
      <c r="B169" s="66">
        <f>EDATE(Plan!$C$6,163)</f>
        <v/>
      </c>
      <c r="C169" s="32">
        <f>CHOOSE(Plan!$K$5,'Calc Smart'!AE175,'Calc Avalanche'!AE175,'Calc Snowball'!AE175,'Calc Cashflow'!AE175)</f>
        <v/>
      </c>
      <c r="D169" s="32">
        <f>CHOOSE(Plan!$K$5,'Calc Smart'!AD175,'Calc Avalanche'!AD175,'Calc Snowball'!AD175,'Calc Cashflow'!AD175)</f>
        <v/>
      </c>
      <c r="E169" s="43">
        <f>CHOOSE(Plan!$K$5,COUNTIF('Calc Smart'!C175:N175,"&gt;0"),COUNTIF('Calc Avalanche'!C175:N175,"&gt;0"),COUNTIF('Calc Snowball'!C175:N175,"&gt;0"),COUNTIF('Calc Cashflow'!C175:N175,"&gt;0"))</f>
        <v/>
      </c>
      <c r="F169" s="67">
        <f>CHOOSE(Plan!$K$5,'Calc Smart'!C175,'Calc Avalanche'!C175,'Calc Snowball'!C175,'Calc Cashflow'!C175)</f>
        <v/>
      </c>
      <c r="G169" s="67">
        <f>CHOOSE(Plan!$K$5,'Calc Smart'!D175,'Calc Avalanche'!D175,'Calc Snowball'!D175,'Calc Cashflow'!D175)</f>
        <v/>
      </c>
      <c r="H169" s="67">
        <f>CHOOSE(Plan!$K$5,'Calc Smart'!E175,'Calc Avalanche'!E175,'Calc Snowball'!E175,'Calc Cashflow'!E175)</f>
        <v/>
      </c>
      <c r="I169" s="67">
        <f>CHOOSE(Plan!$K$5,'Calc Smart'!F175,'Calc Avalanche'!F175,'Calc Snowball'!F175,'Calc Cashflow'!F175)</f>
        <v/>
      </c>
      <c r="J169" s="67">
        <f>CHOOSE(Plan!$K$5,'Calc Smart'!G175,'Calc Avalanche'!G175,'Calc Snowball'!G175,'Calc Cashflow'!G175)</f>
        <v/>
      </c>
      <c r="K169" s="67">
        <f>CHOOSE(Plan!$K$5,'Calc Smart'!H175,'Calc Avalanche'!H175,'Calc Snowball'!H175,'Calc Cashflow'!H175)</f>
        <v/>
      </c>
      <c r="L169" s="67">
        <f>CHOOSE(Plan!$K$5,'Calc Smart'!I175,'Calc Avalanche'!I175,'Calc Snowball'!I175,'Calc Cashflow'!I175)</f>
        <v/>
      </c>
      <c r="M169" s="67">
        <f>CHOOSE(Plan!$K$5,'Calc Smart'!J175,'Calc Avalanche'!J175,'Calc Snowball'!J175,'Calc Cashflow'!J175)</f>
        <v/>
      </c>
      <c r="N169" s="67">
        <f>CHOOSE(Plan!$K$5,'Calc Smart'!K175,'Calc Avalanche'!K175,'Calc Snowball'!K175,'Calc Cashflow'!K175)</f>
        <v/>
      </c>
      <c r="O169" s="67">
        <f>CHOOSE(Plan!$K$5,'Calc Smart'!L175,'Calc Avalanche'!L175,'Calc Snowball'!L175,'Calc Cashflow'!L175)</f>
        <v/>
      </c>
      <c r="P169" s="67">
        <f>CHOOSE(Plan!$K$5,'Calc Smart'!M175,'Calc Avalanche'!M175,'Calc Snowball'!M175,'Calc Cashflow'!M175)</f>
        <v/>
      </c>
      <c r="Q169" s="67">
        <f>CHOOSE(Plan!$K$5,'Calc Smart'!N175,'Calc Avalanche'!N175,'Calc Snowball'!N175,'Calc Cashflow'!N175)</f>
        <v/>
      </c>
    </row>
    <row r="170">
      <c r="B170" s="64">
        <f>EDATE(Plan!$C$6,164)</f>
        <v/>
      </c>
      <c r="C170" s="31">
        <f>CHOOSE(Plan!$K$5,'Calc Smart'!AE176,'Calc Avalanche'!AE176,'Calc Snowball'!AE176,'Calc Cashflow'!AE176)</f>
        <v/>
      </c>
      <c r="D170" s="31">
        <f>CHOOSE(Plan!$K$5,'Calc Smart'!AD176,'Calc Avalanche'!AD176,'Calc Snowball'!AD176,'Calc Cashflow'!AD176)</f>
        <v/>
      </c>
      <c r="E170" s="40">
        <f>CHOOSE(Plan!$K$5,COUNTIF('Calc Smart'!C176:N176,"&gt;0"),COUNTIF('Calc Avalanche'!C176:N176,"&gt;0"),COUNTIF('Calc Snowball'!C176:N176,"&gt;0"),COUNTIF('Calc Cashflow'!C176:N176,"&gt;0"))</f>
        <v/>
      </c>
      <c r="F170" s="65">
        <f>CHOOSE(Plan!$K$5,'Calc Smart'!C176,'Calc Avalanche'!C176,'Calc Snowball'!C176,'Calc Cashflow'!C176)</f>
        <v/>
      </c>
      <c r="G170" s="65">
        <f>CHOOSE(Plan!$K$5,'Calc Smart'!D176,'Calc Avalanche'!D176,'Calc Snowball'!D176,'Calc Cashflow'!D176)</f>
        <v/>
      </c>
      <c r="H170" s="65">
        <f>CHOOSE(Plan!$K$5,'Calc Smart'!E176,'Calc Avalanche'!E176,'Calc Snowball'!E176,'Calc Cashflow'!E176)</f>
        <v/>
      </c>
      <c r="I170" s="65">
        <f>CHOOSE(Plan!$K$5,'Calc Smart'!F176,'Calc Avalanche'!F176,'Calc Snowball'!F176,'Calc Cashflow'!F176)</f>
        <v/>
      </c>
      <c r="J170" s="65">
        <f>CHOOSE(Plan!$K$5,'Calc Smart'!G176,'Calc Avalanche'!G176,'Calc Snowball'!G176,'Calc Cashflow'!G176)</f>
        <v/>
      </c>
      <c r="K170" s="65">
        <f>CHOOSE(Plan!$K$5,'Calc Smart'!H176,'Calc Avalanche'!H176,'Calc Snowball'!H176,'Calc Cashflow'!H176)</f>
        <v/>
      </c>
      <c r="L170" s="65">
        <f>CHOOSE(Plan!$K$5,'Calc Smart'!I176,'Calc Avalanche'!I176,'Calc Snowball'!I176,'Calc Cashflow'!I176)</f>
        <v/>
      </c>
      <c r="M170" s="65">
        <f>CHOOSE(Plan!$K$5,'Calc Smart'!J176,'Calc Avalanche'!J176,'Calc Snowball'!J176,'Calc Cashflow'!J176)</f>
        <v/>
      </c>
      <c r="N170" s="65">
        <f>CHOOSE(Plan!$K$5,'Calc Smart'!K176,'Calc Avalanche'!K176,'Calc Snowball'!K176,'Calc Cashflow'!K176)</f>
        <v/>
      </c>
      <c r="O170" s="65">
        <f>CHOOSE(Plan!$K$5,'Calc Smart'!L176,'Calc Avalanche'!L176,'Calc Snowball'!L176,'Calc Cashflow'!L176)</f>
        <v/>
      </c>
      <c r="P170" s="65">
        <f>CHOOSE(Plan!$K$5,'Calc Smart'!M176,'Calc Avalanche'!M176,'Calc Snowball'!M176,'Calc Cashflow'!M176)</f>
        <v/>
      </c>
      <c r="Q170" s="65">
        <f>CHOOSE(Plan!$K$5,'Calc Smart'!N176,'Calc Avalanche'!N176,'Calc Snowball'!N176,'Calc Cashflow'!N176)</f>
        <v/>
      </c>
    </row>
    <row r="171">
      <c r="B171" s="66">
        <f>EDATE(Plan!$C$6,165)</f>
        <v/>
      </c>
      <c r="C171" s="32">
        <f>CHOOSE(Plan!$K$5,'Calc Smart'!AE177,'Calc Avalanche'!AE177,'Calc Snowball'!AE177,'Calc Cashflow'!AE177)</f>
        <v/>
      </c>
      <c r="D171" s="32">
        <f>CHOOSE(Plan!$K$5,'Calc Smart'!AD177,'Calc Avalanche'!AD177,'Calc Snowball'!AD177,'Calc Cashflow'!AD177)</f>
        <v/>
      </c>
      <c r="E171" s="43">
        <f>CHOOSE(Plan!$K$5,COUNTIF('Calc Smart'!C177:N177,"&gt;0"),COUNTIF('Calc Avalanche'!C177:N177,"&gt;0"),COUNTIF('Calc Snowball'!C177:N177,"&gt;0"),COUNTIF('Calc Cashflow'!C177:N177,"&gt;0"))</f>
        <v/>
      </c>
      <c r="F171" s="67">
        <f>CHOOSE(Plan!$K$5,'Calc Smart'!C177,'Calc Avalanche'!C177,'Calc Snowball'!C177,'Calc Cashflow'!C177)</f>
        <v/>
      </c>
      <c r="G171" s="67">
        <f>CHOOSE(Plan!$K$5,'Calc Smart'!D177,'Calc Avalanche'!D177,'Calc Snowball'!D177,'Calc Cashflow'!D177)</f>
        <v/>
      </c>
      <c r="H171" s="67">
        <f>CHOOSE(Plan!$K$5,'Calc Smart'!E177,'Calc Avalanche'!E177,'Calc Snowball'!E177,'Calc Cashflow'!E177)</f>
        <v/>
      </c>
      <c r="I171" s="67">
        <f>CHOOSE(Plan!$K$5,'Calc Smart'!F177,'Calc Avalanche'!F177,'Calc Snowball'!F177,'Calc Cashflow'!F177)</f>
        <v/>
      </c>
      <c r="J171" s="67">
        <f>CHOOSE(Plan!$K$5,'Calc Smart'!G177,'Calc Avalanche'!G177,'Calc Snowball'!G177,'Calc Cashflow'!G177)</f>
        <v/>
      </c>
      <c r="K171" s="67">
        <f>CHOOSE(Plan!$K$5,'Calc Smart'!H177,'Calc Avalanche'!H177,'Calc Snowball'!H177,'Calc Cashflow'!H177)</f>
        <v/>
      </c>
      <c r="L171" s="67">
        <f>CHOOSE(Plan!$K$5,'Calc Smart'!I177,'Calc Avalanche'!I177,'Calc Snowball'!I177,'Calc Cashflow'!I177)</f>
        <v/>
      </c>
      <c r="M171" s="67">
        <f>CHOOSE(Plan!$K$5,'Calc Smart'!J177,'Calc Avalanche'!J177,'Calc Snowball'!J177,'Calc Cashflow'!J177)</f>
        <v/>
      </c>
      <c r="N171" s="67">
        <f>CHOOSE(Plan!$K$5,'Calc Smart'!K177,'Calc Avalanche'!K177,'Calc Snowball'!K177,'Calc Cashflow'!K177)</f>
        <v/>
      </c>
      <c r="O171" s="67">
        <f>CHOOSE(Plan!$K$5,'Calc Smart'!L177,'Calc Avalanche'!L177,'Calc Snowball'!L177,'Calc Cashflow'!L177)</f>
        <v/>
      </c>
      <c r="P171" s="67">
        <f>CHOOSE(Plan!$K$5,'Calc Smart'!M177,'Calc Avalanche'!M177,'Calc Snowball'!M177,'Calc Cashflow'!M177)</f>
        <v/>
      </c>
      <c r="Q171" s="67">
        <f>CHOOSE(Plan!$K$5,'Calc Smart'!N177,'Calc Avalanche'!N177,'Calc Snowball'!N177,'Calc Cashflow'!N177)</f>
        <v/>
      </c>
    </row>
    <row r="172">
      <c r="B172" s="64">
        <f>EDATE(Plan!$C$6,166)</f>
        <v/>
      </c>
      <c r="C172" s="31">
        <f>CHOOSE(Plan!$K$5,'Calc Smart'!AE178,'Calc Avalanche'!AE178,'Calc Snowball'!AE178,'Calc Cashflow'!AE178)</f>
        <v/>
      </c>
      <c r="D172" s="31">
        <f>CHOOSE(Plan!$K$5,'Calc Smart'!AD178,'Calc Avalanche'!AD178,'Calc Snowball'!AD178,'Calc Cashflow'!AD178)</f>
        <v/>
      </c>
      <c r="E172" s="40">
        <f>CHOOSE(Plan!$K$5,COUNTIF('Calc Smart'!C178:N178,"&gt;0"),COUNTIF('Calc Avalanche'!C178:N178,"&gt;0"),COUNTIF('Calc Snowball'!C178:N178,"&gt;0"),COUNTIF('Calc Cashflow'!C178:N178,"&gt;0"))</f>
        <v/>
      </c>
      <c r="F172" s="65">
        <f>CHOOSE(Plan!$K$5,'Calc Smart'!C178,'Calc Avalanche'!C178,'Calc Snowball'!C178,'Calc Cashflow'!C178)</f>
        <v/>
      </c>
      <c r="G172" s="65">
        <f>CHOOSE(Plan!$K$5,'Calc Smart'!D178,'Calc Avalanche'!D178,'Calc Snowball'!D178,'Calc Cashflow'!D178)</f>
        <v/>
      </c>
      <c r="H172" s="65">
        <f>CHOOSE(Plan!$K$5,'Calc Smart'!E178,'Calc Avalanche'!E178,'Calc Snowball'!E178,'Calc Cashflow'!E178)</f>
        <v/>
      </c>
      <c r="I172" s="65">
        <f>CHOOSE(Plan!$K$5,'Calc Smart'!F178,'Calc Avalanche'!F178,'Calc Snowball'!F178,'Calc Cashflow'!F178)</f>
        <v/>
      </c>
      <c r="J172" s="65">
        <f>CHOOSE(Plan!$K$5,'Calc Smart'!G178,'Calc Avalanche'!G178,'Calc Snowball'!G178,'Calc Cashflow'!G178)</f>
        <v/>
      </c>
      <c r="K172" s="65">
        <f>CHOOSE(Plan!$K$5,'Calc Smart'!H178,'Calc Avalanche'!H178,'Calc Snowball'!H178,'Calc Cashflow'!H178)</f>
        <v/>
      </c>
      <c r="L172" s="65">
        <f>CHOOSE(Plan!$K$5,'Calc Smart'!I178,'Calc Avalanche'!I178,'Calc Snowball'!I178,'Calc Cashflow'!I178)</f>
        <v/>
      </c>
      <c r="M172" s="65">
        <f>CHOOSE(Plan!$K$5,'Calc Smart'!J178,'Calc Avalanche'!J178,'Calc Snowball'!J178,'Calc Cashflow'!J178)</f>
        <v/>
      </c>
      <c r="N172" s="65">
        <f>CHOOSE(Plan!$K$5,'Calc Smart'!K178,'Calc Avalanche'!K178,'Calc Snowball'!K178,'Calc Cashflow'!K178)</f>
        <v/>
      </c>
      <c r="O172" s="65">
        <f>CHOOSE(Plan!$K$5,'Calc Smart'!L178,'Calc Avalanche'!L178,'Calc Snowball'!L178,'Calc Cashflow'!L178)</f>
        <v/>
      </c>
      <c r="P172" s="65">
        <f>CHOOSE(Plan!$K$5,'Calc Smart'!M178,'Calc Avalanche'!M178,'Calc Snowball'!M178,'Calc Cashflow'!M178)</f>
        <v/>
      </c>
      <c r="Q172" s="65">
        <f>CHOOSE(Plan!$K$5,'Calc Smart'!N178,'Calc Avalanche'!N178,'Calc Snowball'!N178,'Calc Cashflow'!N178)</f>
        <v/>
      </c>
    </row>
    <row r="173">
      <c r="B173" s="66">
        <f>EDATE(Plan!$C$6,167)</f>
        <v/>
      </c>
      <c r="C173" s="32">
        <f>CHOOSE(Plan!$K$5,'Calc Smart'!AE179,'Calc Avalanche'!AE179,'Calc Snowball'!AE179,'Calc Cashflow'!AE179)</f>
        <v/>
      </c>
      <c r="D173" s="32">
        <f>CHOOSE(Plan!$K$5,'Calc Smart'!AD179,'Calc Avalanche'!AD179,'Calc Snowball'!AD179,'Calc Cashflow'!AD179)</f>
        <v/>
      </c>
      <c r="E173" s="43">
        <f>CHOOSE(Plan!$K$5,COUNTIF('Calc Smart'!C179:N179,"&gt;0"),COUNTIF('Calc Avalanche'!C179:N179,"&gt;0"),COUNTIF('Calc Snowball'!C179:N179,"&gt;0"),COUNTIF('Calc Cashflow'!C179:N179,"&gt;0"))</f>
        <v/>
      </c>
      <c r="F173" s="67">
        <f>CHOOSE(Plan!$K$5,'Calc Smart'!C179,'Calc Avalanche'!C179,'Calc Snowball'!C179,'Calc Cashflow'!C179)</f>
        <v/>
      </c>
      <c r="G173" s="67">
        <f>CHOOSE(Plan!$K$5,'Calc Smart'!D179,'Calc Avalanche'!D179,'Calc Snowball'!D179,'Calc Cashflow'!D179)</f>
        <v/>
      </c>
      <c r="H173" s="67">
        <f>CHOOSE(Plan!$K$5,'Calc Smart'!E179,'Calc Avalanche'!E179,'Calc Snowball'!E179,'Calc Cashflow'!E179)</f>
        <v/>
      </c>
      <c r="I173" s="67">
        <f>CHOOSE(Plan!$K$5,'Calc Smart'!F179,'Calc Avalanche'!F179,'Calc Snowball'!F179,'Calc Cashflow'!F179)</f>
        <v/>
      </c>
      <c r="J173" s="67">
        <f>CHOOSE(Plan!$K$5,'Calc Smart'!G179,'Calc Avalanche'!G179,'Calc Snowball'!G179,'Calc Cashflow'!G179)</f>
        <v/>
      </c>
      <c r="K173" s="67">
        <f>CHOOSE(Plan!$K$5,'Calc Smart'!H179,'Calc Avalanche'!H179,'Calc Snowball'!H179,'Calc Cashflow'!H179)</f>
        <v/>
      </c>
      <c r="L173" s="67">
        <f>CHOOSE(Plan!$K$5,'Calc Smart'!I179,'Calc Avalanche'!I179,'Calc Snowball'!I179,'Calc Cashflow'!I179)</f>
        <v/>
      </c>
      <c r="M173" s="67">
        <f>CHOOSE(Plan!$K$5,'Calc Smart'!J179,'Calc Avalanche'!J179,'Calc Snowball'!J179,'Calc Cashflow'!J179)</f>
        <v/>
      </c>
      <c r="N173" s="67">
        <f>CHOOSE(Plan!$K$5,'Calc Smart'!K179,'Calc Avalanche'!K179,'Calc Snowball'!K179,'Calc Cashflow'!K179)</f>
        <v/>
      </c>
      <c r="O173" s="67">
        <f>CHOOSE(Plan!$K$5,'Calc Smart'!L179,'Calc Avalanche'!L179,'Calc Snowball'!L179,'Calc Cashflow'!L179)</f>
        <v/>
      </c>
      <c r="P173" s="67">
        <f>CHOOSE(Plan!$K$5,'Calc Smart'!M179,'Calc Avalanche'!M179,'Calc Snowball'!M179,'Calc Cashflow'!M179)</f>
        <v/>
      </c>
      <c r="Q173" s="67">
        <f>CHOOSE(Plan!$K$5,'Calc Smart'!N179,'Calc Avalanche'!N179,'Calc Snowball'!N179,'Calc Cashflow'!N179)</f>
        <v/>
      </c>
    </row>
    <row r="174">
      <c r="B174" s="64">
        <f>EDATE(Plan!$C$6,168)</f>
        <v/>
      </c>
      <c r="C174" s="31">
        <f>CHOOSE(Plan!$K$5,'Calc Smart'!AE180,'Calc Avalanche'!AE180,'Calc Snowball'!AE180,'Calc Cashflow'!AE180)</f>
        <v/>
      </c>
      <c r="D174" s="31">
        <f>CHOOSE(Plan!$K$5,'Calc Smart'!AD180,'Calc Avalanche'!AD180,'Calc Snowball'!AD180,'Calc Cashflow'!AD180)</f>
        <v/>
      </c>
      <c r="E174" s="40">
        <f>CHOOSE(Plan!$K$5,COUNTIF('Calc Smart'!C180:N180,"&gt;0"),COUNTIF('Calc Avalanche'!C180:N180,"&gt;0"),COUNTIF('Calc Snowball'!C180:N180,"&gt;0"),COUNTIF('Calc Cashflow'!C180:N180,"&gt;0"))</f>
        <v/>
      </c>
      <c r="F174" s="65">
        <f>CHOOSE(Plan!$K$5,'Calc Smart'!C180,'Calc Avalanche'!C180,'Calc Snowball'!C180,'Calc Cashflow'!C180)</f>
        <v/>
      </c>
      <c r="G174" s="65">
        <f>CHOOSE(Plan!$K$5,'Calc Smart'!D180,'Calc Avalanche'!D180,'Calc Snowball'!D180,'Calc Cashflow'!D180)</f>
        <v/>
      </c>
      <c r="H174" s="65">
        <f>CHOOSE(Plan!$K$5,'Calc Smart'!E180,'Calc Avalanche'!E180,'Calc Snowball'!E180,'Calc Cashflow'!E180)</f>
        <v/>
      </c>
      <c r="I174" s="65">
        <f>CHOOSE(Plan!$K$5,'Calc Smart'!F180,'Calc Avalanche'!F180,'Calc Snowball'!F180,'Calc Cashflow'!F180)</f>
        <v/>
      </c>
      <c r="J174" s="65">
        <f>CHOOSE(Plan!$K$5,'Calc Smart'!G180,'Calc Avalanche'!G180,'Calc Snowball'!G180,'Calc Cashflow'!G180)</f>
        <v/>
      </c>
      <c r="K174" s="65">
        <f>CHOOSE(Plan!$K$5,'Calc Smart'!H180,'Calc Avalanche'!H180,'Calc Snowball'!H180,'Calc Cashflow'!H180)</f>
        <v/>
      </c>
      <c r="L174" s="65">
        <f>CHOOSE(Plan!$K$5,'Calc Smart'!I180,'Calc Avalanche'!I180,'Calc Snowball'!I180,'Calc Cashflow'!I180)</f>
        <v/>
      </c>
      <c r="M174" s="65">
        <f>CHOOSE(Plan!$K$5,'Calc Smart'!J180,'Calc Avalanche'!J180,'Calc Snowball'!J180,'Calc Cashflow'!J180)</f>
        <v/>
      </c>
      <c r="N174" s="65">
        <f>CHOOSE(Plan!$K$5,'Calc Smart'!K180,'Calc Avalanche'!K180,'Calc Snowball'!K180,'Calc Cashflow'!K180)</f>
        <v/>
      </c>
      <c r="O174" s="65">
        <f>CHOOSE(Plan!$K$5,'Calc Smart'!L180,'Calc Avalanche'!L180,'Calc Snowball'!L180,'Calc Cashflow'!L180)</f>
        <v/>
      </c>
      <c r="P174" s="65">
        <f>CHOOSE(Plan!$K$5,'Calc Smart'!M180,'Calc Avalanche'!M180,'Calc Snowball'!M180,'Calc Cashflow'!M180)</f>
        <v/>
      </c>
      <c r="Q174" s="65">
        <f>CHOOSE(Plan!$K$5,'Calc Smart'!N180,'Calc Avalanche'!N180,'Calc Snowball'!N180,'Calc Cashflow'!N180)</f>
        <v/>
      </c>
    </row>
    <row r="175">
      <c r="B175" s="66">
        <f>EDATE(Plan!$C$6,169)</f>
        <v/>
      </c>
      <c r="C175" s="32">
        <f>CHOOSE(Plan!$K$5,'Calc Smart'!AE181,'Calc Avalanche'!AE181,'Calc Snowball'!AE181,'Calc Cashflow'!AE181)</f>
        <v/>
      </c>
      <c r="D175" s="32">
        <f>CHOOSE(Plan!$K$5,'Calc Smart'!AD181,'Calc Avalanche'!AD181,'Calc Snowball'!AD181,'Calc Cashflow'!AD181)</f>
        <v/>
      </c>
      <c r="E175" s="43">
        <f>CHOOSE(Plan!$K$5,COUNTIF('Calc Smart'!C181:N181,"&gt;0"),COUNTIF('Calc Avalanche'!C181:N181,"&gt;0"),COUNTIF('Calc Snowball'!C181:N181,"&gt;0"),COUNTIF('Calc Cashflow'!C181:N181,"&gt;0"))</f>
        <v/>
      </c>
      <c r="F175" s="67">
        <f>CHOOSE(Plan!$K$5,'Calc Smart'!C181,'Calc Avalanche'!C181,'Calc Snowball'!C181,'Calc Cashflow'!C181)</f>
        <v/>
      </c>
      <c r="G175" s="67">
        <f>CHOOSE(Plan!$K$5,'Calc Smart'!D181,'Calc Avalanche'!D181,'Calc Snowball'!D181,'Calc Cashflow'!D181)</f>
        <v/>
      </c>
      <c r="H175" s="67">
        <f>CHOOSE(Plan!$K$5,'Calc Smart'!E181,'Calc Avalanche'!E181,'Calc Snowball'!E181,'Calc Cashflow'!E181)</f>
        <v/>
      </c>
      <c r="I175" s="67">
        <f>CHOOSE(Plan!$K$5,'Calc Smart'!F181,'Calc Avalanche'!F181,'Calc Snowball'!F181,'Calc Cashflow'!F181)</f>
        <v/>
      </c>
      <c r="J175" s="67">
        <f>CHOOSE(Plan!$K$5,'Calc Smart'!G181,'Calc Avalanche'!G181,'Calc Snowball'!G181,'Calc Cashflow'!G181)</f>
        <v/>
      </c>
      <c r="K175" s="67">
        <f>CHOOSE(Plan!$K$5,'Calc Smart'!H181,'Calc Avalanche'!H181,'Calc Snowball'!H181,'Calc Cashflow'!H181)</f>
        <v/>
      </c>
      <c r="L175" s="67">
        <f>CHOOSE(Plan!$K$5,'Calc Smart'!I181,'Calc Avalanche'!I181,'Calc Snowball'!I181,'Calc Cashflow'!I181)</f>
        <v/>
      </c>
      <c r="M175" s="67">
        <f>CHOOSE(Plan!$K$5,'Calc Smart'!J181,'Calc Avalanche'!J181,'Calc Snowball'!J181,'Calc Cashflow'!J181)</f>
        <v/>
      </c>
      <c r="N175" s="67">
        <f>CHOOSE(Plan!$K$5,'Calc Smart'!K181,'Calc Avalanche'!K181,'Calc Snowball'!K181,'Calc Cashflow'!K181)</f>
        <v/>
      </c>
      <c r="O175" s="67">
        <f>CHOOSE(Plan!$K$5,'Calc Smart'!L181,'Calc Avalanche'!L181,'Calc Snowball'!L181,'Calc Cashflow'!L181)</f>
        <v/>
      </c>
      <c r="P175" s="67">
        <f>CHOOSE(Plan!$K$5,'Calc Smart'!M181,'Calc Avalanche'!M181,'Calc Snowball'!M181,'Calc Cashflow'!M181)</f>
        <v/>
      </c>
      <c r="Q175" s="67">
        <f>CHOOSE(Plan!$K$5,'Calc Smart'!N181,'Calc Avalanche'!N181,'Calc Snowball'!N181,'Calc Cashflow'!N181)</f>
        <v/>
      </c>
    </row>
    <row r="176">
      <c r="B176" s="64">
        <f>EDATE(Plan!$C$6,170)</f>
        <v/>
      </c>
      <c r="C176" s="31">
        <f>CHOOSE(Plan!$K$5,'Calc Smart'!AE182,'Calc Avalanche'!AE182,'Calc Snowball'!AE182,'Calc Cashflow'!AE182)</f>
        <v/>
      </c>
      <c r="D176" s="31">
        <f>CHOOSE(Plan!$K$5,'Calc Smart'!AD182,'Calc Avalanche'!AD182,'Calc Snowball'!AD182,'Calc Cashflow'!AD182)</f>
        <v/>
      </c>
      <c r="E176" s="40">
        <f>CHOOSE(Plan!$K$5,COUNTIF('Calc Smart'!C182:N182,"&gt;0"),COUNTIF('Calc Avalanche'!C182:N182,"&gt;0"),COUNTIF('Calc Snowball'!C182:N182,"&gt;0"),COUNTIF('Calc Cashflow'!C182:N182,"&gt;0"))</f>
        <v/>
      </c>
      <c r="F176" s="65">
        <f>CHOOSE(Plan!$K$5,'Calc Smart'!C182,'Calc Avalanche'!C182,'Calc Snowball'!C182,'Calc Cashflow'!C182)</f>
        <v/>
      </c>
      <c r="G176" s="65">
        <f>CHOOSE(Plan!$K$5,'Calc Smart'!D182,'Calc Avalanche'!D182,'Calc Snowball'!D182,'Calc Cashflow'!D182)</f>
        <v/>
      </c>
      <c r="H176" s="65">
        <f>CHOOSE(Plan!$K$5,'Calc Smart'!E182,'Calc Avalanche'!E182,'Calc Snowball'!E182,'Calc Cashflow'!E182)</f>
        <v/>
      </c>
      <c r="I176" s="65">
        <f>CHOOSE(Plan!$K$5,'Calc Smart'!F182,'Calc Avalanche'!F182,'Calc Snowball'!F182,'Calc Cashflow'!F182)</f>
        <v/>
      </c>
      <c r="J176" s="65">
        <f>CHOOSE(Plan!$K$5,'Calc Smart'!G182,'Calc Avalanche'!G182,'Calc Snowball'!G182,'Calc Cashflow'!G182)</f>
        <v/>
      </c>
      <c r="K176" s="65">
        <f>CHOOSE(Plan!$K$5,'Calc Smart'!H182,'Calc Avalanche'!H182,'Calc Snowball'!H182,'Calc Cashflow'!H182)</f>
        <v/>
      </c>
      <c r="L176" s="65">
        <f>CHOOSE(Plan!$K$5,'Calc Smart'!I182,'Calc Avalanche'!I182,'Calc Snowball'!I182,'Calc Cashflow'!I182)</f>
        <v/>
      </c>
      <c r="M176" s="65">
        <f>CHOOSE(Plan!$K$5,'Calc Smart'!J182,'Calc Avalanche'!J182,'Calc Snowball'!J182,'Calc Cashflow'!J182)</f>
        <v/>
      </c>
      <c r="N176" s="65">
        <f>CHOOSE(Plan!$K$5,'Calc Smart'!K182,'Calc Avalanche'!K182,'Calc Snowball'!K182,'Calc Cashflow'!K182)</f>
        <v/>
      </c>
      <c r="O176" s="65">
        <f>CHOOSE(Plan!$K$5,'Calc Smart'!L182,'Calc Avalanche'!L182,'Calc Snowball'!L182,'Calc Cashflow'!L182)</f>
        <v/>
      </c>
      <c r="P176" s="65">
        <f>CHOOSE(Plan!$K$5,'Calc Smart'!M182,'Calc Avalanche'!M182,'Calc Snowball'!M182,'Calc Cashflow'!M182)</f>
        <v/>
      </c>
      <c r="Q176" s="65">
        <f>CHOOSE(Plan!$K$5,'Calc Smart'!N182,'Calc Avalanche'!N182,'Calc Snowball'!N182,'Calc Cashflow'!N182)</f>
        <v/>
      </c>
    </row>
    <row r="177">
      <c r="B177" s="66">
        <f>EDATE(Plan!$C$6,171)</f>
        <v/>
      </c>
      <c r="C177" s="32">
        <f>CHOOSE(Plan!$K$5,'Calc Smart'!AE183,'Calc Avalanche'!AE183,'Calc Snowball'!AE183,'Calc Cashflow'!AE183)</f>
        <v/>
      </c>
      <c r="D177" s="32">
        <f>CHOOSE(Plan!$K$5,'Calc Smart'!AD183,'Calc Avalanche'!AD183,'Calc Snowball'!AD183,'Calc Cashflow'!AD183)</f>
        <v/>
      </c>
      <c r="E177" s="43">
        <f>CHOOSE(Plan!$K$5,COUNTIF('Calc Smart'!C183:N183,"&gt;0"),COUNTIF('Calc Avalanche'!C183:N183,"&gt;0"),COUNTIF('Calc Snowball'!C183:N183,"&gt;0"),COUNTIF('Calc Cashflow'!C183:N183,"&gt;0"))</f>
        <v/>
      </c>
      <c r="F177" s="67">
        <f>CHOOSE(Plan!$K$5,'Calc Smart'!C183,'Calc Avalanche'!C183,'Calc Snowball'!C183,'Calc Cashflow'!C183)</f>
        <v/>
      </c>
      <c r="G177" s="67">
        <f>CHOOSE(Plan!$K$5,'Calc Smart'!D183,'Calc Avalanche'!D183,'Calc Snowball'!D183,'Calc Cashflow'!D183)</f>
        <v/>
      </c>
      <c r="H177" s="67">
        <f>CHOOSE(Plan!$K$5,'Calc Smart'!E183,'Calc Avalanche'!E183,'Calc Snowball'!E183,'Calc Cashflow'!E183)</f>
        <v/>
      </c>
      <c r="I177" s="67">
        <f>CHOOSE(Plan!$K$5,'Calc Smart'!F183,'Calc Avalanche'!F183,'Calc Snowball'!F183,'Calc Cashflow'!F183)</f>
        <v/>
      </c>
      <c r="J177" s="67">
        <f>CHOOSE(Plan!$K$5,'Calc Smart'!G183,'Calc Avalanche'!G183,'Calc Snowball'!G183,'Calc Cashflow'!G183)</f>
        <v/>
      </c>
      <c r="K177" s="67">
        <f>CHOOSE(Plan!$K$5,'Calc Smart'!H183,'Calc Avalanche'!H183,'Calc Snowball'!H183,'Calc Cashflow'!H183)</f>
        <v/>
      </c>
      <c r="L177" s="67">
        <f>CHOOSE(Plan!$K$5,'Calc Smart'!I183,'Calc Avalanche'!I183,'Calc Snowball'!I183,'Calc Cashflow'!I183)</f>
        <v/>
      </c>
      <c r="M177" s="67">
        <f>CHOOSE(Plan!$K$5,'Calc Smart'!J183,'Calc Avalanche'!J183,'Calc Snowball'!J183,'Calc Cashflow'!J183)</f>
        <v/>
      </c>
      <c r="N177" s="67">
        <f>CHOOSE(Plan!$K$5,'Calc Smart'!K183,'Calc Avalanche'!K183,'Calc Snowball'!K183,'Calc Cashflow'!K183)</f>
        <v/>
      </c>
      <c r="O177" s="67">
        <f>CHOOSE(Plan!$K$5,'Calc Smart'!L183,'Calc Avalanche'!L183,'Calc Snowball'!L183,'Calc Cashflow'!L183)</f>
        <v/>
      </c>
      <c r="P177" s="67">
        <f>CHOOSE(Plan!$K$5,'Calc Smart'!M183,'Calc Avalanche'!M183,'Calc Snowball'!M183,'Calc Cashflow'!M183)</f>
        <v/>
      </c>
      <c r="Q177" s="67">
        <f>CHOOSE(Plan!$K$5,'Calc Smart'!N183,'Calc Avalanche'!N183,'Calc Snowball'!N183,'Calc Cashflow'!N183)</f>
        <v/>
      </c>
    </row>
    <row r="178">
      <c r="B178" s="64">
        <f>EDATE(Plan!$C$6,172)</f>
        <v/>
      </c>
      <c r="C178" s="31">
        <f>CHOOSE(Plan!$K$5,'Calc Smart'!AE184,'Calc Avalanche'!AE184,'Calc Snowball'!AE184,'Calc Cashflow'!AE184)</f>
        <v/>
      </c>
      <c r="D178" s="31">
        <f>CHOOSE(Plan!$K$5,'Calc Smart'!AD184,'Calc Avalanche'!AD184,'Calc Snowball'!AD184,'Calc Cashflow'!AD184)</f>
        <v/>
      </c>
      <c r="E178" s="40">
        <f>CHOOSE(Plan!$K$5,COUNTIF('Calc Smart'!C184:N184,"&gt;0"),COUNTIF('Calc Avalanche'!C184:N184,"&gt;0"),COUNTIF('Calc Snowball'!C184:N184,"&gt;0"),COUNTIF('Calc Cashflow'!C184:N184,"&gt;0"))</f>
        <v/>
      </c>
      <c r="F178" s="65">
        <f>CHOOSE(Plan!$K$5,'Calc Smart'!C184,'Calc Avalanche'!C184,'Calc Snowball'!C184,'Calc Cashflow'!C184)</f>
        <v/>
      </c>
      <c r="G178" s="65">
        <f>CHOOSE(Plan!$K$5,'Calc Smart'!D184,'Calc Avalanche'!D184,'Calc Snowball'!D184,'Calc Cashflow'!D184)</f>
        <v/>
      </c>
      <c r="H178" s="65">
        <f>CHOOSE(Plan!$K$5,'Calc Smart'!E184,'Calc Avalanche'!E184,'Calc Snowball'!E184,'Calc Cashflow'!E184)</f>
        <v/>
      </c>
      <c r="I178" s="65">
        <f>CHOOSE(Plan!$K$5,'Calc Smart'!F184,'Calc Avalanche'!F184,'Calc Snowball'!F184,'Calc Cashflow'!F184)</f>
        <v/>
      </c>
      <c r="J178" s="65">
        <f>CHOOSE(Plan!$K$5,'Calc Smart'!G184,'Calc Avalanche'!G184,'Calc Snowball'!G184,'Calc Cashflow'!G184)</f>
        <v/>
      </c>
      <c r="K178" s="65">
        <f>CHOOSE(Plan!$K$5,'Calc Smart'!H184,'Calc Avalanche'!H184,'Calc Snowball'!H184,'Calc Cashflow'!H184)</f>
        <v/>
      </c>
      <c r="L178" s="65">
        <f>CHOOSE(Plan!$K$5,'Calc Smart'!I184,'Calc Avalanche'!I184,'Calc Snowball'!I184,'Calc Cashflow'!I184)</f>
        <v/>
      </c>
      <c r="M178" s="65">
        <f>CHOOSE(Plan!$K$5,'Calc Smart'!J184,'Calc Avalanche'!J184,'Calc Snowball'!J184,'Calc Cashflow'!J184)</f>
        <v/>
      </c>
      <c r="N178" s="65">
        <f>CHOOSE(Plan!$K$5,'Calc Smart'!K184,'Calc Avalanche'!K184,'Calc Snowball'!K184,'Calc Cashflow'!K184)</f>
        <v/>
      </c>
      <c r="O178" s="65">
        <f>CHOOSE(Plan!$K$5,'Calc Smart'!L184,'Calc Avalanche'!L184,'Calc Snowball'!L184,'Calc Cashflow'!L184)</f>
        <v/>
      </c>
      <c r="P178" s="65">
        <f>CHOOSE(Plan!$K$5,'Calc Smart'!M184,'Calc Avalanche'!M184,'Calc Snowball'!M184,'Calc Cashflow'!M184)</f>
        <v/>
      </c>
      <c r="Q178" s="65">
        <f>CHOOSE(Plan!$K$5,'Calc Smart'!N184,'Calc Avalanche'!N184,'Calc Snowball'!N184,'Calc Cashflow'!N184)</f>
        <v/>
      </c>
    </row>
    <row r="179">
      <c r="B179" s="66">
        <f>EDATE(Plan!$C$6,173)</f>
        <v/>
      </c>
      <c r="C179" s="32">
        <f>CHOOSE(Plan!$K$5,'Calc Smart'!AE185,'Calc Avalanche'!AE185,'Calc Snowball'!AE185,'Calc Cashflow'!AE185)</f>
        <v/>
      </c>
      <c r="D179" s="32">
        <f>CHOOSE(Plan!$K$5,'Calc Smart'!AD185,'Calc Avalanche'!AD185,'Calc Snowball'!AD185,'Calc Cashflow'!AD185)</f>
        <v/>
      </c>
      <c r="E179" s="43">
        <f>CHOOSE(Plan!$K$5,COUNTIF('Calc Smart'!C185:N185,"&gt;0"),COUNTIF('Calc Avalanche'!C185:N185,"&gt;0"),COUNTIF('Calc Snowball'!C185:N185,"&gt;0"),COUNTIF('Calc Cashflow'!C185:N185,"&gt;0"))</f>
        <v/>
      </c>
      <c r="F179" s="67">
        <f>CHOOSE(Plan!$K$5,'Calc Smart'!C185,'Calc Avalanche'!C185,'Calc Snowball'!C185,'Calc Cashflow'!C185)</f>
        <v/>
      </c>
      <c r="G179" s="67">
        <f>CHOOSE(Plan!$K$5,'Calc Smart'!D185,'Calc Avalanche'!D185,'Calc Snowball'!D185,'Calc Cashflow'!D185)</f>
        <v/>
      </c>
      <c r="H179" s="67">
        <f>CHOOSE(Plan!$K$5,'Calc Smart'!E185,'Calc Avalanche'!E185,'Calc Snowball'!E185,'Calc Cashflow'!E185)</f>
        <v/>
      </c>
      <c r="I179" s="67">
        <f>CHOOSE(Plan!$K$5,'Calc Smart'!F185,'Calc Avalanche'!F185,'Calc Snowball'!F185,'Calc Cashflow'!F185)</f>
        <v/>
      </c>
      <c r="J179" s="67">
        <f>CHOOSE(Plan!$K$5,'Calc Smart'!G185,'Calc Avalanche'!G185,'Calc Snowball'!G185,'Calc Cashflow'!G185)</f>
        <v/>
      </c>
      <c r="K179" s="67">
        <f>CHOOSE(Plan!$K$5,'Calc Smart'!H185,'Calc Avalanche'!H185,'Calc Snowball'!H185,'Calc Cashflow'!H185)</f>
        <v/>
      </c>
      <c r="L179" s="67">
        <f>CHOOSE(Plan!$K$5,'Calc Smart'!I185,'Calc Avalanche'!I185,'Calc Snowball'!I185,'Calc Cashflow'!I185)</f>
        <v/>
      </c>
      <c r="M179" s="67">
        <f>CHOOSE(Plan!$K$5,'Calc Smart'!J185,'Calc Avalanche'!J185,'Calc Snowball'!J185,'Calc Cashflow'!J185)</f>
        <v/>
      </c>
      <c r="N179" s="67">
        <f>CHOOSE(Plan!$K$5,'Calc Smart'!K185,'Calc Avalanche'!K185,'Calc Snowball'!K185,'Calc Cashflow'!K185)</f>
        <v/>
      </c>
      <c r="O179" s="67">
        <f>CHOOSE(Plan!$K$5,'Calc Smart'!L185,'Calc Avalanche'!L185,'Calc Snowball'!L185,'Calc Cashflow'!L185)</f>
        <v/>
      </c>
      <c r="P179" s="67">
        <f>CHOOSE(Plan!$K$5,'Calc Smart'!M185,'Calc Avalanche'!M185,'Calc Snowball'!M185,'Calc Cashflow'!M185)</f>
        <v/>
      </c>
      <c r="Q179" s="67">
        <f>CHOOSE(Plan!$K$5,'Calc Smart'!N185,'Calc Avalanche'!N185,'Calc Snowball'!N185,'Calc Cashflow'!N185)</f>
        <v/>
      </c>
    </row>
    <row r="180">
      <c r="B180" s="64">
        <f>EDATE(Plan!$C$6,174)</f>
        <v/>
      </c>
      <c r="C180" s="31">
        <f>CHOOSE(Plan!$K$5,'Calc Smart'!AE186,'Calc Avalanche'!AE186,'Calc Snowball'!AE186,'Calc Cashflow'!AE186)</f>
        <v/>
      </c>
      <c r="D180" s="31">
        <f>CHOOSE(Plan!$K$5,'Calc Smart'!AD186,'Calc Avalanche'!AD186,'Calc Snowball'!AD186,'Calc Cashflow'!AD186)</f>
        <v/>
      </c>
      <c r="E180" s="40">
        <f>CHOOSE(Plan!$K$5,COUNTIF('Calc Smart'!C186:N186,"&gt;0"),COUNTIF('Calc Avalanche'!C186:N186,"&gt;0"),COUNTIF('Calc Snowball'!C186:N186,"&gt;0"),COUNTIF('Calc Cashflow'!C186:N186,"&gt;0"))</f>
        <v/>
      </c>
      <c r="F180" s="65">
        <f>CHOOSE(Plan!$K$5,'Calc Smart'!C186,'Calc Avalanche'!C186,'Calc Snowball'!C186,'Calc Cashflow'!C186)</f>
        <v/>
      </c>
      <c r="G180" s="65">
        <f>CHOOSE(Plan!$K$5,'Calc Smart'!D186,'Calc Avalanche'!D186,'Calc Snowball'!D186,'Calc Cashflow'!D186)</f>
        <v/>
      </c>
      <c r="H180" s="65">
        <f>CHOOSE(Plan!$K$5,'Calc Smart'!E186,'Calc Avalanche'!E186,'Calc Snowball'!E186,'Calc Cashflow'!E186)</f>
        <v/>
      </c>
      <c r="I180" s="65">
        <f>CHOOSE(Plan!$K$5,'Calc Smart'!F186,'Calc Avalanche'!F186,'Calc Snowball'!F186,'Calc Cashflow'!F186)</f>
        <v/>
      </c>
      <c r="J180" s="65">
        <f>CHOOSE(Plan!$K$5,'Calc Smart'!G186,'Calc Avalanche'!G186,'Calc Snowball'!G186,'Calc Cashflow'!G186)</f>
        <v/>
      </c>
      <c r="K180" s="65">
        <f>CHOOSE(Plan!$K$5,'Calc Smart'!H186,'Calc Avalanche'!H186,'Calc Snowball'!H186,'Calc Cashflow'!H186)</f>
        <v/>
      </c>
      <c r="L180" s="65">
        <f>CHOOSE(Plan!$K$5,'Calc Smart'!I186,'Calc Avalanche'!I186,'Calc Snowball'!I186,'Calc Cashflow'!I186)</f>
        <v/>
      </c>
      <c r="M180" s="65">
        <f>CHOOSE(Plan!$K$5,'Calc Smart'!J186,'Calc Avalanche'!J186,'Calc Snowball'!J186,'Calc Cashflow'!J186)</f>
        <v/>
      </c>
      <c r="N180" s="65">
        <f>CHOOSE(Plan!$K$5,'Calc Smart'!K186,'Calc Avalanche'!K186,'Calc Snowball'!K186,'Calc Cashflow'!K186)</f>
        <v/>
      </c>
      <c r="O180" s="65">
        <f>CHOOSE(Plan!$K$5,'Calc Smart'!L186,'Calc Avalanche'!L186,'Calc Snowball'!L186,'Calc Cashflow'!L186)</f>
        <v/>
      </c>
      <c r="P180" s="65">
        <f>CHOOSE(Plan!$K$5,'Calc Smart'!M186,'Calc Avalanche'!M186,'Calc Snowball'!M186,'Calc Cashflow'!M186)</f>
        <v/>
      </c>
      <c r="Q180" s="65">
        <f>CHOOSE(Plan!$K$5,'Calc Smart'!N186,'Calc Avalanche'!N186,'Calc Snowball'!N186,'Calc Cashflow'!N186)</f>
        <v/>
      </c>
    </row>
    <row r="181">
      <c r="B181" s="66">
        <f>EDATE(Plan!$C$6,175)</f>
        <v/>
      </c>
      <c r="C181" s="32">
        <f>CHOOSE(Plan!$K$5,'Calc Smart'!AE187,'Calc Avalanche'!AE187,'Calc Snowball'!AE187,'Calc Cashflow'!AE187)</f>
        <v/>
      </c>
      <c r="D181" s="32">
        <f>CHOOSE(Plan!$K$5,'Calc Smart'!AD187,'Calc Avalanche'!AD187,'Calc Snowball'!AD187,'Calc Cashflow'!AD187)</f>
        <v/>
      </c>
      <c r="E181" s="43">
        <f>CHOOSE(Plan!$K$5,COUNTIF('Calc Smart'!C187:N187,"&gt;0"),COUNTIF('Calc Avalanche'!C187:N187,"&gt;0"),COUNTIF('Calc Snowball'!C187:N187,"&gt;0"),COUNTIF('Calc Cashflow'!C187:N187,"&gt;0"))</f>
        <v/>
      </c>
      <c r="F181" s="67">
        <f>CHOOSE(Plan!$K$5,'Calc Smart'!C187,'Calc Avalanche'!C187,'Calc Snowball'!C187,'Calc Cashflow'!C187)</f>
        <v/>
      </c>
      <c r="G181" s="67">
        <f>CHOOSE(Plan!$K$5,'Calc Smart'!D187,'Calc Avalanche'!D187,'Calc Snowball'!D187,'Calc Cashflow'!D187)</f>
        <v/>
      </c>
      <c r="H181" s="67">
        <f>CHOOSE(Plan!$K$5,'Calc Smart'!E187,'Calc Avalanche'!E187,'Calc Snowball'!E187,'Calc Cashflow'!E187)</f>
        <v/>
      </c>
      <c r="I181" s="67">
        <f>CHOOSE(Plan!$K$5,'Calc Smart'!F187,'Calc Avalanche'!F187,'Calc Snowball'!F187,'Calc Cashflow'!F187)</f>
        <v/>
      </c>
      <c r="J181" s="67">
        <f>CHOOSE(Plan!$K$5,'Calc Smart'!G187,'Calc Avalanche'!G187,'Calc Snowball'!G187,'Calc Cashflow'!G187)</f>
        <v/>
      </c>
      <c r="K181" s="67">
        <f>CHOOSE(Plan!$K$5,'Calc Smart'!H187,'Calc Avalanche'!H187,'Calc Snowball'!H187,'Calc Cashflow'!H187)</f>
        <v/>
      </c>
      <c r="L181" s="67">
        <f>CHOOSE(Plan!$K$5,'Calc Smart'!I187,'Calc Avalanche'!I187,'Calc Snowball'!I187,'Calc Cashflow'!I187)</f>
        <v/>
      </c>
      <c r="M181" s="67">
        <f>CHOOSE(Plan!$K$5,'Calc Smart'!J187,'Calc Avalanche'!J187,'Calc Snowball'!J187,'Calc Cashflow'!J187)</f>
        <v/>
      </c>
      <c r="N181" s="67">
        <f>CHOOSE(Plan!$K$5,'Calc Smart'!K187,'Calc Avalanche'!K187,'Calc Snowball'!K187,'Calc Cashflow'!K187)</f>
        <v/>
      </c>
      <c r="O181" s="67">
        <f>CHOOSE(Plan!$K$5,'Calc Smart'!L187,'Calc Avalanche'!L187,'Calc Snowball'!L187,'Calc Cashflow'!L187)</f>
        <v/>
      </c>
      <c r="P181" s="67">
        <f>CHOOSE(Plan!$K$5,'Calc Smart'!M187,'Calc Avalanche'!M187,'Calc Snowball'!M187,'Calc Cashflow'!M187)</f>
        <v/>
      </c>
      <c r="Q181" s="67">
        <f>CHOOSE(Plan!$K$5,'Calc Smart'!N187,'Calc Avalanche'!N187,'Calc Snowball'!N187,'Calc Cashflow'!N187)</f>
        <v/>
      </c>
    </row>
    <row r="182">
      <c r="B182" s="64">
        <f>EDATE(Plan!$C$6,176)</f>
        <v/>
      </c>
      <c r="C182" s="31">
        <f>CHOOSE(Plan!$K$5,'Calc Smart'!AE188,'Calc Avalanche'!AE188,'Calc Snowball'!AE188,'Calc Cashflow'!AE188)</f>
        <v/>
      </c>
      <c r="D182" s="31">
        <f>CHOOSE(Plan!$K$5,'Calc Smart'!AD188,'Calc Avalanche'!AD188,'Calc Snowball'!AD188,'Calc Cashflow'!AD188)</f>
        <v/>
      </c>
      <c r="E182" s="40">
        <f>CHOOSE(Plan!$K$5,COUNTIF('Calc Smart'!C188:N188,"&gt;0"),COUNTIF('Calc Avalanche'!C188:N188,"&gt;0"),COUNTIF('Calc Snowball'!C188:N188,"&gt;0"),COUNTIF('Calc Cashflow'!C188:N188,"&gt;0"))</f>
        <v/>
      </c>
      <c r="F182" s="65">
        <f>CHOOSE(Plan!$K$5,'Calc Smart'!C188,'Calc Avalanche'!C188,'Calc Snowball'!C188,'Calc Cashflow'!C188)</f>
        <v/>
      </c>
      <c r="G182" s="65">
        <f>CHOOSE(Plan!$K$5,'Calc Smart'!D188,'Calc Avalanche'!D188,'Calc Snowball'!D188,'Calc Cashflow'!D188)</f>
        <v/>
      </c>
      <c r="H182" s="65">
        <f>CHOOSE(Plan!$K$5,'Calc Smart'!E188,'Calc Avalanche'!E188,'Calc Snowball'!E188,'Calc Cashflow'!E188)</f>
        <v/>
      </c>
      <c r="I182" s="65">
        <f>CHOOSE(Plan!$K$5,'Calc Smart'!F188,'Calc Avalanche'!F188,'Calc Snowball'!F188,'Calc Cashflow'!F188)</f>
        <v/>
      </c>
      <c r="J182" s="65">
        <f>CHOOSE(Plan!$K$5,'Calc Smart'!G188,'Calc Avalanche'!G188,'Calc Snowball'!G188,'Calc Cashflow'!G188)</f>
        <v/>
      </c>
      <c r="K182" s="65">
        <f>CHOOSE(Plan!$K$5,'Calc Smart'!H188,'Calc Avalanche'!H188,'Calc Snowball'!H188,'Calc Cashflow'!H188)</f>
        <v/>
      </c>
      <c r="L182" s="65">
        <f>CHOOSE(Plan!$K$5,'Calc Smart'!I188,'Calc Avalanche'!I188,'Calc Snowball'!I188,'Calc Cashflow'!I188)</f>
        <v/>
      </c>
      <c r="M182" s="65">
        <f>CHOOSE(Plan!$K$5,'Calc Smart'!J188,'Calc Avalanche'!J188,'Calc Snowball'!J188,'Calc Cashflow'!J188)</f>
        <v/>
      </c>
      <c r="N182" s="65">
        <f>CHOOSE(Plan!$K$5,'Calc Smart'!K188,'Calc Avalanche'!K188,'Calc Snowball'!K188,'Calc Cashflow'!K188)</f>
        <v/>
      </c>
      <c r="O182" s="65">
        <f>CHOOSE(Plan!$K$5,'Calc Smart'!L188,'Calc Avalanche'!L188,'Calc Snowball'!L188,'Calc Cashflow'!L188)</f>
        <v/>
      </c>
      <c r="P182" s="65">
        <f>CHOOSE(Plan!$K$5,'Calc Smart'!M188,'Calc Avalanche'!M188,'Calc Snowball'!M188,'Calc Cashflow'!M188)</f>
        <v/>
      </c>
      <c r="Q182" s="65">
        <f>CHOOSE(Plan!$K$5,'Calc Smart'!N188,'Calc Avalanche'!N188,'Calc Snowball'!N188,'Calc Cashflow'!N188)</f>
        <v/>
      </c>
    </row>
    <row r="183">
      <c r="B183" s="66">
        <f>EDATE(Plan!$C$6,177)</f>
        <v/>
      </c>
      <c r="C183" s="32">
        <f>CHOOSE(Plan!$K$5,'Calc Smart'!AE189,'Calc Avalanche'!AE189,'Calc Snowball'!AE189,'Calc Cashflow'!AE189)</f>
        <v/>
      </c>
      <c r="D183" s="32">
        <f>CHOOSE(Plan!$K$5,'Calc Smart'!AD189,'Calc Avalanche'!AD189,'Calc Snowball'!AD189,'Calc Cashflow'!AD189)</f>
        <v/>
      </c>
      <c r="E183" s="43">
        <f>CHOOSE(Plan!$K$5,COUNTIF('Calc Smart'!C189:N189,"&gt;0"),COUNTIF('Calc Avalanche'!C189:N189,"&gt;0"),COUNTIF('Calc Snowball'!C189:N189,"&gt;0"),COUNTIF('Calc Cashflow'!C189:N189,"&gt;0"))</f>
        <v/>
      </c>
      <c r="F183" s="67">
        <f>CHOOSE(Plan!$K$5,'Calc Smart'!C189,'Calc Avalanche'!C189,'Calc Snowball'!C189,'Calc Cashflow'!C189)</f>
        <v/>
      </c>
      <c r="G183" s="67">
        <f>CHOOSE(Plan!$K$5,'Calc Smart'!D189,'Calc Avalanche'!D189,'Calc Snowball'!D189,'Calc Cashflow'!D189)</f>
        <v/>
      </c>
      <c r="H183" s="67">
        <f>CHOOSE(Plan!$K$5,'Calc Smart'!E189,'Calc Avalanche'!E189,'Calc Snowball'!E189,'Calc Cashflow'!E189)</f>
        <v/>
      </c>
      <c r="I183" s="67">
        <f>CHOOSE(Plan!$K$5,'Calc Smart'!F189,'Calc Avalanche'!F189,'Calc Snowball'!F189,'Calc Cashflow'!F189)</f>
        <v/>
      </c>
      <c r="J183" s="67">
        <f>CHOOSE(Plan!$K$5,'Calc Smart'!G189,'Calc Avalanche'!G189,'Calc Snowball'!G189,'Calc Cashflow'!G189)</f>
        <v/>
      </c>
      <c r="K183" s="67">
        <f>CHOOSE(Plan!$K$5,'Calc Smart'!H189,'Calc Avalanche'!H189,'Calc Snowball'!H189,'Calc Cashflow'!H189)</f>
        <v/>
      </c>
      <c r="L183" s="67">
        <f>CHOOSE(Plan!$K$5,'Calc Smart'!I189,'Calc Avalanche'!I189,'Calc Snowball'!I189,'Calc Cashflow'!I189)</f>
        <v/>
      </c>
      <c r="M183" s="67">
        <f>CHOOSE(Plan!$K$5,'Calc Smart'!J189,'Calc Avalanche'!J189,'Calc Snowball'!J189,'Calc Cashflow'!J189)</f>
        <v/>
      </c>
      <c r="N183" s="67">
        <f>CHOOSE(Plan!$K$5,'Calc Smart'!K189,'Calc Avalanche'!K189,'Calc Snowball'!K189,'Calc Cashflow'!K189)</f>
        <v/>
      </c>
      <c r="O183" s="67">
        <f>CHOOSE(Plan!$K$5,'Calc Smart'!L189,'Calc Avalanche'!L189,'Calc Snowball'!L189,'Calc Cashflow'!L189)</f>
        <v/>
      </c>
      <c r="P183" s="67">
        <f>CHOOSE(Plan!$K$5,'Calc Smart'!M189,'Calc Avalanche'!M189,'Calc Snowball'!M189,'Calc Cashflow'!M189)</f>
        <v/>
      </c>
      <c r="Q183" s="67">
        <f>CHOOSE(Plan!$K$5,'Calc Smart'!N189,'Calc Avalanche'!N189,'Calc Snowball'!N189,'Calc Cashflow'!N189)</f>
        <v/>
      </c>
    </row>
    <row r="184">
      <c r="B184" s="64">
        <f>EDATE(Plan!$C$6,178)</f>
        <v/>
      </c>
      <c r="C184" s="31">
        <f>CHOOSE(Plan!$K$5,'Calc Smart'!AE190,'Calc Avalanche'!AE190,'Calc Snowball'!AE190,'Calc Cashflow'!AE190)</f>
        <v/>
      </c>
      <c r="D184" s="31">
        <f>CHOOSE(Plan!$K$5,'Calc Smart'!AD190,'Calc Avalanche'!AD190,'Calc Snowball'!AD190,'Calc Cashflow'!AD190)</f>
        <v/>
      </c>
      <c r="E184" s="40">
        <f>CHOOSE(Plan!$K$5,COUNTIF('Calc Smart'!C190:N190,"&gt;0"),COUNTIF('Calc Avalanche'!C190:N190,"&gt;0"),COUNTIF('Calc Snowball'!C190:N190,"&gt;0"),COUNTIF('Calc Cashflow'!C190:N190,"&gt;0"))</f>
        <v/>
      </c>
      <c r="F184" s="65">
        <f>CHOOSE(Plan!$K$5,'Calc Smart'!C190,'Calc Avalanche'!C190,'Calc Snowball'!C190,'Calc Cashflow'!C190)</f>
        <v/>
      </c>
      <c r="G184" s="65">
        <f>CHOOSE(Plan!$K$5,'Calc Smart'!D190,'Calc Avalanche'!D190,'Calc Snowball'!D190,'Calc Cashflow'!D190)</f>
        <v/>
      </c>
      <c r="H184" s="65">
        <f>CHOOSE(Plan!$K$5,'Calc Smart'!E190,'Calc Avalanche'!E190,'Calc Snowball'!E190,'Calc Cashflow'!E190)</f>
        <v/>
      </c>
      <c r="I184" s="65">
        <f>CHOOSE(Plan!$K$5,'Calc Smart'!F190,'Calc Avalanche'!F190,'Calc Snowball'!F190,'Calc Cashflow'!F190)</f>
        <v/>
      </c>
      <c r="J184" s="65">
        <f>CHOOSE(Plan!$K$5,'Calc Smart'!G190,'Calc Avalanche'!G190,'Calc Snowball'!G190,'Calc Cashflow'!G190)</f>
        <v/>
      </c>
      <c r="K184" s="65">
        <f>CHOOSE(Plan!$K$5,'Calc Smart'!H190,'Calc Avalanche'!H190,'Calc Snowball'!H190,'Calc Cashflow'!H190)</f>
        <v/>
      </c>
      <c r="L184" s="65">
        <f>CHOOSE(Plan!$K$5,'Calc Smart'!I190,'Calc Avalanche'!I190,'Calc Snowball'!I190,'Calc Cashflow'!I190)</f>
        <v/>
      </c>
      <c r="M184" s="65">
        <f>CHOOSE(Plan!$K$5,'Calc Smart'!J190,'Calc Avalanche'!J190,'Calc Snowball'!J190,'Calc Cashflow'!J190)</f>
        <v/>
      </c>
      <c r="N184" s="65">
        <f>CHOOSE(Plan!$K$5,'Calc Smart'!K190,'Calc Avalanche'!K190,'Calc Snowball'!K190,'Calc Cashflow'!K190)</f>
        <v/>
      </c>
      <c r="O184" s="65">
        <f>CHOOSE(Plan!$K$5,'Calc Smart'!L190,'Calc Avalanche'!L190,'Calc Snowball'!L190,'Calc Cashflow'!L190)</f>
        <v/>
      </c>
      <c r="P184" s="65">
        <f>CHOOSE(Plan!$K$5,'Calc Smart'!M190,'Calc Avalanche'!M190,'Calc Snowball'!M190,'Calc Cashflow'!M190)</f>
        <v/>
      </c>
      <c r="Q184" s="65">
        <f>CHOOSE(Plan!$K$5,'Calc Smart'!N190,'Calc Avalanche'!N190,'Calc Snowball'!N190,'Calc Cashflow'!N190)</f>
        <v/>
      </c>
    </row>
    <row r="185">
      <c r="B185" s="66">
        <f>EDATE(Plan!$C$6,179)</f>
        <v/>
      </c>
      <c r="C185" s="32">
        <f>CHOOSE(Plan!$K$5,'Calc Smart'!AE191,'Calc Avalanche'!AE191,'Calc Snowball'!AE191,'Calc Cashflow'!AE191)</f>
        <v/>
      </c>
      <c r="D185" s="32">
        <f>CHOOSE(Plan!$K$5,'Calc Smart'!AD191,'Calc Avalanche'!AD191,'Calc Snowball'!AD191,'Calc Cashflow'!AD191)</f>
        <v/>
      </c>
      <c r="E185" s="43">
        <f>CHOOSE(Plan!$K$5,COUNTIF('Calc Smart'!C191:N191,"&gt;0"),COUNTIF('Calc Avalanche'!C191:N191,"&gt;0"),COUNTIF('Calc Snowball'!C191:N191,"&gt;0"),COUNTIF('Calc Cashflow'!C191:N191,"&gt;0"))</f>
        <v/>
      </c>
      <c r="F185" s="67">
        <f>CHOOSE(Plan!$K$5,'Calc Smart'!C191,'Calc Avalanche'!C191,'Calc Snowball'!C191,'Calc Cashflow'!C191)</f>
        <v/>
      </c>
      <c r="G185" s="67">
        <f>CHOOSE(Plan!$K$5,'Calc Smart'!D191,'Calc Avalanche'!D191,'Calc Snowball'!D191,'Calc Cashflow'!D191)</f>
        <v/>
      </c>
      <c r="H185" s="67">
        <f>CHOOSE(Plan!$K$5,'Calc Smart'!E191,'Calc Avalanche'!E191,'Calc Snowball'!E191,'Calc Cashflow'!E191)</f>
        <v/>
      </c>
      <c r="I185" s="67">
        <f>CHOOSE(Plan!$K$5,'Calc Smart'!F191,'Calc Avalanche'!F191,'Calc Snowball'!F191,'Calc Cashflow'!F191)</f>
        <v/>
      </c>
      <c r="J185" s="67">
        <f>CHOOSE(Plan!$K$5,'Calc Smart'!G191,'Calc Avalanche'!G191,'Calc Snowball'!G191,'Calc Cashflow'!G191)</f>
        <v/>
      </c>
      <c r="K185" s="67">
        <f>CHOOSE(Plan!$K$5,'Calc Smart'!H191,'Calc Avalanche'!H191,'Calc Snowball'!H191,'Calc Cashflow'!H191)</f>
        <v/>
      </c>
      <c r="L185" s="67">
        <f>CHOOSE(Plan!$K$5,'Calc Smart'!I191,'Calc Avalanche'!I191,'Calc Snowball'!I191,'Calc Cashflow'!I191)</f>
        <v/>
      </c>
      <c r="M185" s="67">
        <f>CHOOSE(Plan!$K$5,'Calc Smart'!J191,'Calc Avalanche'!J191,'Calc Snowball'!J191,'Calc Cashflow'!J191)</f>
        <v/>
      </c>
      <c r="N185" s="67">
        <f>CHOOSE(Plan!$K$5,'Calc Smart'!K191,'Calc Avalanche'!K191,'Calc Snowball'!K191,'Calc Cashflow'!K191)</f>
        <v/>
      </c>
      <c r="O185" s="67">
        <f>CHOOSE(Plan!$K$5,'Calc Smart'!L191,'Calc Avalanche'!L191,'Calc Snowball'!L191,'Calc Cashflow'!L191)</f>
        <v/>
      </c>
      <c r="P185" s="67">
        <f>CHOOSE(Plan!$K$5,'Calc Smart'!M191,'Calc Avalanche'!M191,'Calc Snowball'!M191,'Calc Cashflow'!M191)</f>
        <v/>
      </c>
      <c r="Q185" s="67">
        <f>CHOOSE(Plan!$K$5,'Calc Smart'!N191,'Calc Avalanche'!N191,'Calc Snowball'!N191,'Calc Cashflow'!N191)</f>
        <v/>
      </c>
    </row>
    <row r="186">
      <c r="B186" s="64">
        <f>EDATE(Plan!$C$6,180)</f>
        <v/>
      </c>
      <c r="C186" s="31">
        <f>CHOOSE(Plan!$K$5,'Calc Smart'!AE192,'Calc Avalanche'!AE192,'Calc Snowball'!AE192,'Calc Cashflow'!AE192)</f>
        <v/>
      </c>
      <c r="D186" s="31">
        <f>CHOOSE(Plan!$K$5,'Calc Smart'!AD192,'Calc Avalanche'!AD192,'Calc Snowball'!AD192,'Calc Cashflow'!AD192)</f>
        <v/>
      </c>
      <c r="E186" s="40">
        <f>CHOOSE(Plan!$K$5,COUNTIF('Calc Smart'!C192:N192,"&gt;0"),COUNTIF('Calc Avalanche'!C192:N192,"&gt;0"),COUNTIF('Calc Snowball'!C192:N192,"&gt;0"),COUNTIF('Calc Cashflow'!C192:N192,"&gt;0"))</f>
        <v/>
      </c>
      <c r="F186" s="65">
        <f>CHOOSE(Plan!$K$5,'Calc Smart'!C192,'Calc Avalanche'!C192,'Calc Snowball'!C192,'Calc Cashflow'!C192)</f>
        <v/>
      </c>
      <c r="G186" s="65">
        <f>CHOOSE(Plan!$K$5,'Calc Smart'!D192,'Calc Avalanche'!D192,'Calc Snowball'!D192,'Calc Cashflow'!D192)</f>
        <v/>
      </c>
      <c r="H186" s="65">
        <f>CHOOSE(Plan!$K$5,'Calc Smart'!E192,'Calc Avalanche'!E192,'Calc Snowball'!E192,'Calc Cashflow'!E192)</f>
        <v/>
      </c>
      <c r="I186" s="65">
        <f>CHOOSE(Plan!$K$5,'Calc Smart'!F192,'Calc Avalanche'!F192,'Calc Snowball'!F192,'Calc Cashflow'!F192)</f>
        <v/>
      </c>
      <c r="J186" s="65">
        <f>CHOOSE(Plan!$K$5,'Calc Smart'!G192,'Calc Avalanche'!G192,'Calc Snowball'!G192,'Calc Cashflow'!G192)</f>
        <v/>
      </c>
      <c r="K186" s="65">
        <f>CHOOSE(Plan!$K$5,'Calc Smart'!H192,'Calc Avalanche'!H192,'Calc Snowball'!H192,'Calc Cashflow'!H192)</f>
        <v/>
      </c>
      <c r="L186" s="65">
        <f>CHOOSE(Plan!$K$5,'Calc Smart'!I192,'Calc Avalanche'!I192,'Calc Snowball'!I192,'Calc Cashflow'!I192)</f>
        <v/>
      </c>
      <c r="M186" s="65">
        <f>CHOOSE(Plan!$K$5,'Calc Smart'!J192,'Calc Avalanche'!J192,'Calc Snowball'!J192,'Calc Cashflow'!J192)</f>
        <v/>
      </c>
      <c r="N186" s="65">
        <f>CHOOSE(Plan!$K$5,'Calc Smart'!K192,'Calc Avalanche'!K192,'Calc Snowball'!K192,'Calc Cashflow'!K192)</f>
        <v/>
      </c>
      <c r="O186" s="65">
        <f>CHOOSE(Plan!$K$5,'Calc Smart'!L192,'Calc Avalanche'!L192,'Calc Snowball'!L192,'Calc Cashflow'!L192)</f>
        <v/>
      </c>
      <c r="P186" s="65">
        <f>CHOOSE(Plan!$K$5,'Calc Smart'!M192,'Calc Avalanche'!M192,'Calc Snowball'!M192,'Calc Cashflow'!M192)</f>
        <v/>
      </c>
      <c r="Q186" s="65">
        <f>CHOOSE(Plan!$K$5,'Calc Smart'!N192,'Calc Avalanche'!N192,'Calc Snowball'!N192,'Calc Cashflow'!N192)</f>
        <v/>
      </c>
    </row>
    <row r="187">
      <c r="B187" s="66">
        <f>EDATE(Plan!$C$6,181)</f>
        <v/>
      </c>
      <c r="C187" s="32">
        <f>CHOOSE(Plan!$K$5,'Calc Smart'!AE193,'Calc Avalanche'!AE193,'Calc Snowball'!AE193,'Calc Cashflow'!AE193)</f>
        <v/>
      </c>
      <c r="D187" s="32">
        <f>CHOOSE(Plan!$K$5,'Calc Smart'!AD193,'Calc Avalanche'!AD193,'Calc Snowball'!AD193,'Calc Cashflow'!AD193)</f>
        <v/>
      </c>
      <c r="E187" s="43">
        <f>CHOOSE(Plan!$K$5,COUNTIF('Calc Smart'!C193:N193,"&gt;0"),COUNTIF('Calc Avalanche'!C193:N193,"&gt;0"),COUNTIF('Calc Snowball'!C193:N193,"&gt;0"),COUNTIF('Calc Cashflow'!C193:N193,"&gt;0"))</f>
        <v/>
      </c>
      <c r="F187" s="67">
        <f>CHOOSE(Plan!$K$5,'Calc Smart'!C193,'Calc Avalanche'!C193,'Calc Snowball'!C193,'Calc Cashflow'!C193)</f>
        <v/>
      </c>
      <c r="G187" s="67">
        <f>CHOOSE(Plan!$K$5,'Calc Smart'!D193,'Calc Avalanche'!D193,'Calc Snowball'!D193,'Calc Cashflow'!D193)</f>
        <v/>
      </c>
      <c r="H187" s="67">
        <f>CHOOSE(Plan!$K$5,'Calc Smart'!E193,'Calc Avalanche'!E193,'Calc Snowball'!E193,'Calc Cashflow'!E193)</f>
        <v/>
      </c>
      <c r="I187" s="67">
        <f>CHOOSE(Plan!$K$5,'Calc Smart'!F193,'Calc Avalanche'!F193,'Calc Snowball'!F193,'Calc Cashflow'!F193)</f>
        <v/>
      </c>
      <c r="J187" s="67">
        <f>CHOOSE(Plan!$K$5,'Calc Smart'!G193,'Calc Avalanche'!G193,'Calc Snowball'!G193,'Calc Cashflow'!G193)</f>
        <v/>
      </c>
      <c r="K187" s="67">
        <f>CHOOSE(Plan!$K$5,'Calc Smart'!H193,'Calc Avalanche'!H193,'Calc Snowball'!H193,'Calc Cashflow'!H193)</f>
        <v/>
      </c>
      <c r="L187" s="67">
        <f>CHOOSE(Plan!$K$5,'Calc Smart'!I193,'Calc Avalanche'!I193,'Calc Snowball'!I193,'Calc Cashflow'!I193)</f>
        <v/>
      </c>
      <c r="M187" s="67">
        <f>CHOOSE(Plan!$K$5,'Calc Smart'!J193,'Calc Avalanche'!J193,'Calc Snowball'!J193,'Calc Cashflow'!J193)</f>
        <v/>
      </c>
      <c r="N187" s="67">
        <f>CHOOSE(Plan!$K$5,'Calc Smart'!K193,'Calc Avalanche'!K193,'Calc Snowball'!K193,'Calc Cashflow'!K193)</f>
        <v/>
      </c>
      <c r="O187" s="67">
        <f>CHOOSE(Plan!$K$5,'Calc Smart'!L193,'Calc Avalanche'!L193,'Calc Snowball'!L193,'Calc Cashflow'!L193)</f>
        <v/>
      </c>
      <c r="P187" s="67">
        <f>CHOOSE(Plan!$K$5,'Calc Smart'!M193,'Calc Avalanche'!M193,'Calc Snowball'!M193,'Calc Cashflow'!M193)</f>
        <v/>
      </c>
      <c r="Q187" s="67">
        <f>CHOOSE(Plan!$K$5,'Calc Smart'!N193,'Calc Avalanche'!N193,'Calc Snowball'!N193,'Calc Cashflow'!N193)</f>
        <v/>
      </c>
    </row>
    <row r="188">
      <c r="B188" s="64">
        <f>EDATE(Plan!$C$6,182)</f>
        <v/>
      </c>
      <c r="C188" s="31">
        <f>CHOOSE(Plan!$K$5,'Calc Smart'!AE194,'Calc Avalanche'!AE194,'Calc Snowball'!AE194,'Calc Cashflow'!AE194)</f>
        <v/>
      </c>
      <c r="D188" s="31">
        <f>CHOOSE(Plan!$K$5,'Calc Smart'!AD194,'Calc Avalanche'!AD194,'Calc Snowball'!AD194,'Calc Cashflow'!AD194)</f>
        <v/>
      </c>
      <c r="E188" s="40">
        <f>CHOOSE(Plan!$K$5,COUNTIF('Calc Smart'!C194:N194,"&gt;0"),COUNTIF('Calc Avalanche'!C194:N194,"&gt;0"),COUNTIF('Calc Snowball'!C194:N194,"&gt;0"),COUNTIF('Calc Cashflow'!C194:N194,"&gt;0"))</f>
        <v/>
      </c>
      <c r="F188" s="65">
        <f>CHOOSE(Plan!$K$5,'Calc Smart'!C194,'Calc Avalanche'!C194,'Calc Snowball'!C194,'Calc Cashflow'!C194)</f>
        <v/>
      </c>
      <c r="G188" s="65">
        <f>CHOOSE(Plan!$K$5,'Calc Smart'!D194,'Calc Avalanche'!D194,'Calc Snowball'!D194,'Calc Cashflow'!D194)</f>
        <v/>
      </c>
      <c r="H188" s="65">
        <f>CHOOSE(Plan!$K$5,'Calc Smart'!E194,'Calc Avalanche'!E194,'Calc Snowball'!E194,'Calc Cashflow'!E194)</f>
        <v/>
      </c>
      <c r="I188" s="65">
        <f>CHOOSE(Plan!$K$5,'Calc Smart'!F194,'Calc Avalanche'!F194,'Calc Snowball'!F194,'Calc Cashflow'!F194)</f>
        <v/>
      </c>
      <c r="J188" s="65">
        <f>CHOOSE(Plan!$K$5,'Calc Smart'!G194,'Calc Avalanche'!G194,'Calc Snowball'!G194,'Calc Cashflow'!G194)</f>
        <v/>
      </c>
      <c r="K188" s="65">
        <f>CHOOSE(Plan!$K$5,'Calc Smart'!H194,'Calc Avalanche'!H194,'Calc Snowball'!H194,'Calc Cashflow'!H194)</f>
        <v/>
      </c>
      <c r="L188" s="65">
        <f>CHOOSE(Plan!$K$5,'Calc Smart'!I194,'Calc Avalanche'!I194,'Calc Snowball'!I194,'Calc Cashflow'!I194)</f>
        <v/>
      </c>
      <c r="M188" s="65">
        <f>CHOOSE(Plan!$K$5,'Calc Smart'!J194,'Calc Avalanche'!J194,'Calc Snowball'!J194,'Calc Cashflow'!J194)</f>
        <v/>
      </c>
      <c r="N188" s="65">
        <f>CHOOSE(Plan!$K$5,'Calc Smart'!K194,'Calc Avalanche'!K194,'Calc Snowball'!K194,'Calc Cashflow'!K194)</f>
        <v/>
      </c>
      <c r="O188" s="65">
        <f>CHOOSE(Plan!$K$5,'Calc Smart'!L194,'Calc Avalanche'!L194,'Calc Snowball'!L194,'Calc Cashflow'!L194)</f>
        <v/>
      </c>
      <c r="P188" s="65">
        <f>CHOOSE(Plan!$K$5,'Calc Smart'!M194,'Calc Avalanche'!M194,'Calc Snowball'!M194,'Calc Cashflow'!M194)</f>
        <v/>
      </c>
      <c r="Q188" s="65">
        <f>CHOOSE(Plan!$K$5,'Calc Smart'!N194,'Calc Avalanche'!N194,'Calc Snowball'!N194,'Calc Cashflow'!N194)</f>
        <v/>
      </c>
    </row>
    <row r="189">
      <c r="B189" s="66">
        <f>EDATE(Plan!$C$6,183)</f>
        <v/>
      </c>
      <c r="C189" s="32">
        <f>CHOOSE(Plan!$K$5,'Calc Smart'!AE195,'Calc Avalanche'!AE195,'Calc Snowball'!AE195,'Calc Cashflow'!AE195)</f>
        <v/>
      </c>
      <c r="D189" s="32">
        <f>CHOOSE(Plan!$K$5,'Calc Smart'!AD195,'Calc Avalanche'!AD195,'Calc Snowball'!AD195,'Calc Cashflow'!AD195)</f>
        <v/>
      </c>
      <c r="E189" s="43">
        <f>CHOOSE(Plan!$K$5,COUNTIF('Calc Smart'!C195:N195,"&gt;0"),COUNTIF('Calc Avalanche'!C195:N195,"&gt;0"),COUNTIF('Calc Snowball'!C195:N195,"&gt;0"),COUNTIF('Calc Cashflow'!C195:N195,"&gt;0"))</f>
        <v/>
      </c>
      <c r="F189" s="67">
        <f>CHOOSE(Plan!$K$5,'Calc Smart'!C195,'Calc Avalanche'!C195,'Calc Snowball'!C195,'Calc Cashflow'!C195)</f>
        <v/>
      </c>
      <c r="G189" s="67">
        <f>CHOOSE(Plan!$K$5,'Calc Smart'!D195,'Calc Avalanche'!D195,'Calc Snowball'!D195,'Calc Cashflow'!D195)</f>
        <v/>
      </c>
      <c r="H189" s="67">
        <f>CHOOSE(Plan!$K$5,'Calc Smart'!E195,'Calc Avalanche'!E195,'Calc Snowball'!E195,'Calc Cashflow'!E195)</f>
        <v/>
      </c>
      <c r="I189" s="67">
        <f>CHOOSE(Plan!$K$5,'Calc Smart'!F195,'Calc Avalanche'!F195,'Calc Snowball'!F195,'Calc Cashflow'!F195)</f>
        <v/>
      </c>
      <c r="J189" s="67">
        <f>CHOOSE(Plan!$K$5,'Calc Smart'!G195,'Calc Avalanche'!G195,'Calc Snowball'!G195,'Calc Cashflow'!G195)</f>
        <v/>
      </c>
      <c r="K189" s="67">
        <f>CHOOSE(Plan!$K$5,'Calc Smart'!H195,'Calc Avalanche'!H195,'Calc Snowball'!H195,'Calc Cashflow'!H195)</f>
        <v/>
      </c>
      <c r="L189" s="67">
        <f>CHOOSE(Plan!$K$5,'Calc Smart'!I195,'Calc Avalanche'!I195,'Calc Snowball'!I195,'Calc Cashflow'!I195)</f>
        <v/>
      </c>
      <c r="M189" s="67">
        <f>CHOOSE(Plan!$K$5,'Calc Smart'!J195,'Calc Avalanche'!J195,'Calc Snowball'!J195,'Calc Cashflow'!J195)</f>
        <v/>
      </c>
      <c r="N189" s="67">
        <f>CHOOSE(Plan!$K$5,'Calc Smart'!K195,'Calc Avalanche'!K195,'Calc Snowball'!K195,'Calc Cashflow'!K195)</f>
        <v/>
      </c>
      <c r="O189" s="67">
        <f>CHOOSE(Plan!$K$5,'Calc Smart'!L195,'Calc Avalanche'!L195,'Calc Snowball'!L195,'Calc Cashflow'!L195)</f>
        <v/>
      </c>
      <c r="P189" s="67">
        <f>CHOOSE(Plan!$K$5,'Calc Smart'!M195,'Calc Avalanche'!M195,'Calc Snowball'!M195,'Calc Cashflow'!M195)</f>
        <v/>
      </c>
      <c r="Q189" s="67">
        <f>CHOOSE(Plan!$K$5,'Calc Smart'!N195,'Calc Avalanche'!N195,'Calc Snowball'!N195,'Calc Cashflow'!N195)</f>
        <v/>
      </c>
    </row>
    <row r="190">
      <c r="B190" s="64">
        <f>EDATE(Plan!$C$6,184)</f>
        <v/>
      </c>
      <c r="C190" s="31">
        <f>CHOOSE(Plan!$K$5,'Calc Smart'!AE196,'Calc Avalanche'!AE196,'Calc Snowball'!AE196,'Calc Cashflow'!AE196)</f>
        <v/>
      </c>
      <c r="D190" s="31">
        <f>CHOOSE(Plan!$K$5,'Calc Smart'!AD196,'Calc Avalanche'!AD196,'Calc Snowball'!AD196,'Calc Cashflow'!AD196)</f>
        <v/>
      </c>
      <c r="E190" s="40">
        <f>CHOOSE(Plan!$K$5,COUNTIF('Calc Smart'!C196:N196,"&gt;0"),COUNTIF('Calc Avalanche'!C196:N196,"&gt;0"),COUNTIF('Calc Snowball'!C196:N196,"&gt;0"),COUNTIF('Calc Cashflow'!C196:N196,"&gt;0"))</f>
        <v/>
      </c>
      <c r="F190" s="65">
        <f>CHOOSE(Plan!$K$5,'Calc Smart'!C196,'Calc Avalanche'!C196,'Calc Snowball'!C196,'Calc Cashflow'!C196)</f>
        <v/>
      </c>
      <c r="G190" s="65">
        <f>CHOOSE(Plan!$K$5,'Calc Smart'!D196,'Calc Avalanche'!D196,'Calc Snowball'!D196,'Calc Cashflow'!D196)</f>
        <v/>
      </c>
      <c r="H190" s="65">
        <f>CHOOSE(Plan!$K$5,'Calc Smart'!E196,'Calc Avalanche'!E196,'Calc Snowball'!E196,'Calc Cashflow'!E196)</f>
        <v/>
      </c>
      <c r="I190" s="65">
        <f>CHOOSE(Plan!$K$5,'Calc Smart'!F196,'Calc Avalanche'!F196,'Calc Snowball'!F196,'Calc Cashflow'!F196)</f>
        <v/>
      </c>
      <c r="J190" s="65">
        <f>CHOOSE(Plan!$K$5,'Calc Smart'!G196,'Calc Avalanche'!G196,'Calc Snowball'!G196,'Calc Cashflow'!G196)</f>
        <v/>
      </c>
      <c r="K190" s="65">
        <f>CHOOSE(Plan!$K$5,'Calc Smart'!H196,'Calc Avalanche'!H196,'Calc Snowball'!H196,'Calc Cashflow'!H196)</f>
        <v/>
      </c>
      <c r="L190" s="65">
        <f>CHOOSE(Plan!$K$5,'Calc Smart'!I196,'Calc Avalanche'!I196,'Calc Snowball'!I196,'Calc Cashflow'!I196)</f>
        <v/>
      </c>
      <c r="M190" s="65">
        <f>CHOOSE(Plan!$K$5,'Calc Smart'!J196,'Calc Avalanche'!J196,'Calc Snowball'!J196,'Calc Cashflow'!J196)</f>
        <v/>
      </c>
      <c r="N190" s="65">
        <f>CHOOSE(Plan!$K$5,'Calc Smart'!K196,'Calc Avalanche'!K196,'Calc Snowball'!K196,'Calc Cashflow'!K196)</f>
        <v/>
      </c>
      <c r="O190" s="65">
        <f>CHOOSE(Plan!$K$5,'Calc Smart'!L196,'Calc Avalanche'!L196,'Calc Snowball'!L196,'Calc Cashflow'!L196)</f>
        <v/>
      </c>
      <c r="P190" s="65">
        <f>CHOOSE(Plan!$K$5,'Calc Smart'!M196,'Calc Avalanche'!M196,'Calc Snowball'!M196,'Calc Cashflow'!M196)</f>
        <v/>
      </c>
      <c r="Q190" s="65">
        <f>CHOOSE(Plan!$K$5,'Calc Smart'!N196,'Calc Avalanche'!N196,'Calc Snowball'!N196,'Calc Cashflow'!N196)</f>
        <v/>
      </c>
    </row>
    <row r="191">
      <c r="B191" s="66">
        <f>EDATE(Plan!$C$6,185)</f>
        <v/>
      </c>
      <c r="C191" s="32">
        <f>CHOOSE(Plan!$K$5,'Calc Smart'!AE197,'Calc Avalanche'!AE197,'Calc Snowball'!AE197,'Calc Cashflow'!AE197)</f>
        <v/>
      </c>
      <c r="D191" s="32">
        <f>CHOOSE(Plan!$K$5,'Calc Smart'!AD197,'Calc Avalanche'!AD197,'Calc Snowball'!AD197,'Calc Cashflow'!AD197)</f>
        <v/>
      </c>
      <c r="E191" s="43">
        <f>CHOOSE(Plan!$K$5,COUNTIF('Calc Smart'!C197:N197,"&gt;0"),COUNTIF('Calc Avalanche'!C197:N197,"&gt;0"),COUNTIF('Calc Snowball'!C197:N197,"&gt;0"),COUNTIF('Calc Cashflow'!C197:N197,"&gt;0"))</f>
        <v/>
      </c>
      <c r="F191" s="67">
        <f>CHOOSE(Plan!$K$5,'Calc Smart'!C197,'Calc Avalanche'!C197,'Calc Snowball'!C197,'Calc Cashflow'!C197)</f>
        <v/>
      </c>
      <c r="G191" s="67">
        <f>CHOOSE(Plan!$K$5,'Calc Smart'!D197,'Calc Avalanche'!D197,'Calc Snowball'!D197,'Calc Cashflow'!D197)</f>
        <v/>
      </c>
      <c r="H191" s="67">
        <f>CHOOSE(Plan!$K$5,'Calc Smart'!E197,'Calc Avalanche'!E197,'Calc Snowball'!E197,'Calc Cashflow'!E197)</f>
        <v/>
      </c>
      <c r="I191" s="67">
        <f>CHOOSE(Plan!$K$5,'Calc Smart'!F197,'Calc Avalanche'!F197,'Calc Snowball'!F197,'Calc Cashflow'!F197)</f>
        <v/>
      </c>
      <c r="J191" s="67">
        <f>CHOOSE(Plan!$K$5,'Calc Smart'!G197,'Calc Avalanche'!G197,'Calc Snowball'!G197,'Calc Cashflow'!G197)</f>
        <v/>
      </c>
      <c r="K191" s="67">
        <f>CHOOSE(Plan!$K$5,'Calc Smart'!H197,'Calc Avalanche'!H197,'Calc Snowball'!H197,'Calc Cashflow'!H197)</f>
        <v/>
      </c>
      <c r="L191" s="67">
        <f>CHOOSE(Plan!$K$5,'Calc Smart'!I197,'Calc Avalanche'!I197,'Calc Snowball'!I197,'Calc Cashflow'!I197)</f>
        <v/>
      </c>
      <c r="M191" s="67">
        <f>CHOOSE(Plan!$K$5,'Calc Smart'!J197,'Calc Avalanche'!J197,'Calc Snowball'!J197,'Calc Cashflow'!J197)</f>
        <v/>
      </c>
      <c r="N191" s="67">
        <f>CHOOSE(Plan!$K$5,'Calc Smart'!K197,'Calc Avalanche'!K197,'Calc Snowball'!K197,'Calc Cashflow'!K197)</f>
        <v/>
      </c>
      <c r="O191" s="67">
        <f>CHOOSE(Plan!$K$5,'Calc Smart'!L197,'Calc Avalanche'!L197,'Calc Snowball'!L197,'Calc Cashflow'!L197)</f>
        <v/>
      </c>
      <c r="P191" s="67">
        <f>CHOOSE(Plan!$K$5,'Calc Smart'!M197,'Calc Avalanche'!M197,'Calc Snowball'!M197,'Calc Cashflow'!M197)</f>
        <v/>
      </c>
      <c r="Q191" s="67">
        <f>CHOOSE(Plan!$K$5,'Calc Smart'!N197,'Calc Avalanche'!N197,'Calc Snowball'!N197,'Calc Cashflow'!N197)</f>
        <v/>
      </c>
    </row>
    <row r="192">
      <c r="B192" s="64">
        <f>EDATE(Plan!$C$6,186)</f>
        <v/>
      </c>
      <c r="C192" s="31">
        <f>CHOOSE(Plan!$K$5,'Calc Smart'!AE198,'Calc Avalanche'!AE198,'Calc Snowball'!AE198,'Calc Cashflow'!AE198)</f>
        <v/>
      </c>
      <c r="D192" s="31">
        <f>CHOOSE(Plan!$K$5,'Calc Smart'!AD198,'Calc Avalanche'!AD198,'Calc Snowball'!AD198,'Calc Cashflow'!AD198)</f>
        <v/>
      </c>
      <c r="E192" s="40">
        <f>CHOOSE(Plan!$K$5,COUNTIF('Calc Smart'!C198:N198,"&gt;0"),COUNTIF('Calc Avalanche'!C198:N198,"&gt;0"),COUNTIF('Calc Snowball'!C198:N198,"&gt;0"),COUNTIF('Calc Cashflow'!C198:N198,"&gt;0"))</f>
        <v/>
      </c>
      <c r="F192" s="65">
        <f>CHOOSE(Plan!$K$5,'Calc Smart'!C198,'Calc Avalanche'!C198,'Calc Snowball'!C198,'Calc Cashflow'!C198)</f>
        <v/>
      </c>
      <c r="G192" s="65">
        <f>CHOOSE(Plan!$K$5,'Calc Smart'!D198,'Calc Avalanche'!D198,'Calc Snowball'!D198,'Calc Cashflow'!D198)</f>
        <v/>
      </c>
      <c r="H192" s="65">
        <f>CHOOSE(Plan!$K$5,'Calc Smart'!E198,'Calc Avalanche'!E198,'Calc Snowball'!E198,'Calc Cashflow'!E198)</f>
        <v/>
      </c>
      <c r="I192" s="65">
        <f>CHOOSE(Plan!$K$5,'Calc Smart'!F198,'Calc Avalanche'!F198,'Calc Snowball'!F198,'Calc Cashflow'!F198)</f>
        <v/>
      </c>
      <c r="J192" s="65">
        <f>CHOOSE(Plan!$K$5,'Calc Smart'!G198,'Calc Avalanche'!G198,'Calc Snowball'!G198,'Calc Cashflow'!G198)</f>
        <v/>
      </c>
      <c r="K192" s="65">
        <f>CHOOSE(Plan!$K$5,'Calc Smart'!H198,'Calc Avalanche'!H198,'Calc Snowball'!H198,'Calc Cashflow'!H198)</f>
        <v/>
      </c>
      <c r="L192" s="65">
        <f>CHOOSE(Plan!$K$5,'Calc Smart'!I198,'Calc Avalanche'!I198,'Calc Snowball'!I198,'Calc Cashflow'!I198)</f>
        <v/>
      </c>
      <c r="M192" s="65">
        <f>CHOOSE(Plan!$K$5,'Calc Smart'!J198,'Calc Avalanche'!J198,'Calc Snowball'!J198,'Calc Cashflow'!J198)</f>
        <v/>
      </c>
      <c r="N192" s="65">
        <f>CHOOSE(Plan!$K$5,'Calc Smart'!K198,'Calc Avalanche'!K198,'Calc Snowball'!K198,'Calc Cashflow'!K198)</f>
        <v/>
      </c>
      <c r="O192" s="65">
        <f>CHOOSE(Plan!$K$5,'Calc Smart'!L198,'Calc Avalanche'!L198,'Calc Snowball'!L198,'Calc Cashflow'!L198)</f>
        <v/>
      </c>
      <c r="P192" s="65">
        <f>CHOOSE(Plan!$K$5,'Calc Smart'!M198,'Calc Avalanche'!M198,'Calc Snowball'!M198,'Calc Cashflow'!M198)</f>
        <v/>
      </c>
      <c r="Q192" s="65">
        <f>CHOOSE(Plan!$K$5,'Calc Smart'!N198,'Calc Avalanche'!N198,'Calc Snowball'!N198,'Calc Cashflow'!N198)</f>
        <v/>
      </c>
    </row>
    <row r="193">
      <c r="B193" s="66">
        <f>EDATE(Plan!$C$6,187)</f>
        <v/>
      </c>
      <c r="C193" s="32">
        <f>CHOOSE(Plan!$K$5,'Calc Smart'!AE199,'Calc Avalanche'!AE199,'Calc Snowball'!AE199,'Calc Cashflow'!AE199)</f>
        <v/>
      </c>
      <c r="D193" s="32">
        <f>CHOOSE(Plan!$K$5,'Calc Smart'!AD199,'Calc Avalanche'!AD199,'Calc Snowball'!AD199,'Calc Cashflow'!AD199)</f>
        <v/>
      </c>
      <c r="E193" s="43">
        <f>CHOOSE(Plan!$K$5,COUNTIF('Calc Smart'!C199:N199,"&gt;0"),COUNTIF('Calc Avalanche'!C199:N199,"&gt;0"),COUNTIF('Calc Snowball'!C199:N199,"&gt;0"),COUNTIF('Calc Cashflow'!C199:N199,"&gt;0"))</f>
        <v/>
      </c>
      <c r="F193" s="67">
        <f>CHOOSE(Plan!$K$5,'Calc Smart'!C199,'Calc Avalanche'!C199,'Calc Snowball'!C199,'Calc Cashflow'!C199)</f>
        <v/>
      </c>
      <c r="G193" s="67">
        <f>CHOOSE(Plan!$K$5,'Calc Smart'!D199,'Calc Avalanche'!D199,'Calc Snowball'!D199,'Calc Cashflow'!D199)</f>
        <v/>
      </c>
      <c r="H193" s="67">
        <f>CHOOSE(Plan!$K$5,'Calc Smart'!E199,'Calc Avalanche'!E199,'Calc Snowball'!E199,'Calc Cashflow'!E199)</f>
        <v/>
      </c>
      <c r="I193" s="67">
        <f>CHOOSE(Plan!$K$5,'Calc Smart'!F199,'Calc Avalanche'!F199,'Calc Snowball'!F199,'Calc Cashflow'!F199)</f>
        <v/>
      </c>
      <c r="J193" s="67">
        <f>CHOOSE(Plan!$K$5,'Calc Smart'!G199,'Calc Avalanche'!G199,'Calc Snowball'!G199,'Calc Cashflow'!G199)</f>
        <v/>
      </c>
      <c r="K193" s="67">
        <f>CHOOSE(Plan!$K$5,'Calc Smart'!H199,'Calc Avalanche'!H199,'Calc Snowball'!H199,'Calc Cashflow'!H199)</f>
        <v/>
      </c>
      <c r="L193" s="67">
        <f>CHOOSE(Plan!$K$5,'Calc Smart'!I199,'Calc Avalanche'!I199,'Calc Snowball'!I199,'Calc Cashflow'!I199)</f>
        <v/>
      </c>
      <c r="M193" s="67">
        <f>CHOOSE(Plan!$K$5,'Calc Smart'!J199,'Calc Avalanche'!J199,'Calc Snowball'!J199,'Calc Cashflow'!J199)</f>
        <v/>
      </c>
      <c r="N193" s="67">
        <f>CHOOSE(Plan!$K$5,'Calc Smart'!K199,'Calc Avalanche'!K199,'Calc Snowball'!K199,'Calc Cashflow'!K199)</f>
        <v/>
      </c>
      <c r="O193" s="67">
        <f>CHOOSE(Plan!$K$5,'Calc Smart'!L199,'Calc Avalanche'!L199,'Calc Snowball'!L199,'Calc Cashflow'!L199)</f>
        <v/>
      </c>
      <c r="P193" s="67">
        <f>CHOOSE(Plan!$K$5,'Calc Smart'!M199,'Calc Avalanche'!M199,'Calc Snowball'!M199,'Calc Cashflow'!M199)</f>
        <v/>
      </c>
      <c r="Q193" s="67">
        <f>CHOOSE(Plan!$K$5,'Calc Smart'!N199,'Calc Avalanche'!N199,'Calc Snowball'!N199,'Calc Cashflow'!N199)</f>
        <v/>
      </c>
    </row>
    <row r="194">
      <c r="B194" s="64">
        <f>EDATE(Plan!$C$6,188)</f>
        <v/>
      </c>
      <c r="C194" s="31">
        <f>CHOOSE(Plan!$K$5,'Calc Smart'!AE200,'Calc Avalanche'!AE200,'Calc Snowball'!AE200,'Calc Cashflow'!AE200)</f>
        <v/>
      </c>
      <c r="D194" s="31">
        <f>CHOOSE(Plan!$K$5,'Calc Smart'!AD200,'Calc Avalanche'!AD200,'Calc Snowball'!AD200,'Calc Cashflow'!AD200)</f>
        <v/>
      </c>
      <c r="E194" s="40">
        <f>CHOOSE(Plan!$K$5,COUNTIF('Calc Smart'!C200:N200,"&gt;0"),COUNTIF('Calc Avalanche'!C200:N200,"&gt;0"),COUNTIF('Calc Snowball'!C200:N200,"&gt;0"),COUNTIF('Calc Cashflow'!C200:N200,"&gt;0"))</f>
        <v/>
      </c>
      <c r="F194" s="65">
        <f>CHOOSE(Plan!$K$5,'Calc Smart'!C200,'Calc Avalanche'!C200,'Calc Snowball'!C200,'Calc Cashflow'!C200)</f>
        <v/>
      </c>
      <c r="G194" s="65">
        <f>CHOOSE(Plan!$K$5,'Calc Smart'!D200,'Calc Avalanche'!D200,'Calc Snowball'!D200,'Calc Cashflow'!D200)</f>
        <v/>
      </c>
      <c r="H194" s="65">
        <f>CHOOSE(Plan!$K$5,'Calc Smart'!E200,'Calc Avalanche'!E200,'Calc Snowball'!E200,'Calc Cashflow'!E200)</f>
        <v/>
      </c>
      <c r="I194" s="65">
        <f>CHOOSE(Plan!$K$5,'Calc Smart'!F200,'Calc Avalanche'!F200,'Calc Snowball'!F200,'Calc Cashflow'!F200)</f>
        <v/>
      </c>
      <c r="J194" s="65">
        <f>CHOOSE(Plan!$K$5,'Calc Smart'!G200,'Calc Avalanche'!G200,'Calc Snowball'!G200,'Calc Cashflow'!G200)</f>
        <v/>
      </c>
      <c r="K194" s="65">
        <f>CHOOSE(Plan!$K$5,'Calc Smart'!H200,'Calc Avalanche'!H200,'Calc Snowball'!H200,'Calc Cashflow'!H200)</f>
        <v/>
      </c>
      <c r="L194" s="65">
        <f>CHOOSE(Plan!$K$5,'Calc Smart'!I200,'Calc Avalanche'!I200,'Calc Snowball'!I200,'Calc Cashflow'!I200)</f>
        <v/>
      </c>
      <c r="M194" s="65">
        <f>CHOOSE(Plan!$K$5,'Calc Smart'!J200,'Calc Avalanche'!J200,'Calc Snowball'!J200,'Calc Cashflow'!J200)</f>
        <v/>
      </c>
      <c r="N194" s="65">
        <f>CHOOSE(Plan!$K$5,'Calc Smart'!K200,'Calc Avalanche'!K200,'Calc Snowball'!K200,'Calc Cashflow'!K200)</f>
        <v/>
      </c>
      <c r="O194" s="65">
        <f>CHOOSE(Plan!$K$5,'Calc Smart'!L200,'Calc Avalanche'!L200,'Calc Snowball'!L200,'Calc Cashflow'!L200)</f>
        <v/>
      </c>
      <c r="P194" s="65">
        <f>CHOOSE(Plan!$K$5,'Calc Smart'!M200,'Calc Avalanche'!M200,'Calc Snowball'!M200,'Calc Cashflow'!M200)</f>
        <v/>
      </c>
      <c r="Q194" s="65">
        <f>CHOOSE(Plan!$K$5,'Calc Smart'!N200,'Calc Avalanche'!N200,'Calc Snowball'!N200,'Calc Cashflow'!N200)</f>
        <v/>
      </c>
    </row>
    <row r="195">
      <c r="B195" s="66">
        <f>EDATE(Plan!$C$6,189)</f>
        <v/>
      </c>
      <c r="C195" s="32">
        <f>CHOOSE(Plan!$K$5,'Calc Smart'!AE201,'Calc Avalanche'!AE201,'Calc Snowball'!AE201,'Calc Cashflow'!AE201)</f>
        <v/>
      </c>
      <c r="D195" s="32">
        <f>CHOOSE(Plan!$K$5,'Calc Smart'!AD201,'Calc Avalanche'!AD201,'Calc Snowball'!AD201,'Calc Cashflow'!AD201)</f>
        <v/>
      </c>
      <c r="E195" s="43">
        <f>CHOOSE(Plan!$K$5,COUNTIF('Calc Smart'!C201:N201,"&gt;0"),COUNTIF('Calc Avalanche'!C201:N201,"&gt;0"),COUNTIF('Calc Snowball'!C201:N201,"&gt;0"),COUNTIF('Calc Cashflow'!C201:N201,"&gt;0"))</f>
        <v/>
      </c>
      <c r="F195" s="67">
        <f>CHOOSE(Plan!$K$5,'Calc Smart'!C201,'Calc Avalanche'!C201,'Calc Snowball'!C201,'Calc Cashflow'!C201)</f>
        <v/>
      </c>
      <c r="G195" s="67">
        <f>CHOOSE(Plan!$K$5,'Calc Smart'!D201,'Calc Avalanche'!D201,'Calc Snowball'!D201,'Calc Cashflow'!D201)</f>
        <v/>
      </c>
      <c r="H195" s="67">
        <f>CHOOSE(Plan!$K$5,'Calc Smart'!E201,'Calc Avalanche'!E201,'Calc Snowball'!E201,'Calc Cashflow'!E201)</f>
        <v/>
      </c>
      <c r="I195" s="67">
        <f>CHOOSE(Plan!$K$5,'Calc Smart'!F201,'Calc Avalanche'!F201,'Calc Snowball'!F201,'Calc Cashflow'!F201)</f>
        <v/>
      </c>
      <c r="J195" s="67">
        <f>CHOOSE(Plan!$K$5,'Calc Smart'!G201,'Calc Avalanche'!G201,'Calc Snowball'!G201,'Calc Cashflow'!G201)</f>
        <v/>
      </c>
      <c r="K195" s="67">
        <f>CHOOSE(Plan!$K$5,'Calc Smart'!H201,'Calc Avalanche'!H201,'Calc Snowball'!H201,'Calc Cashflow'!H201)</f>
        <v/>
      </c>
      <c r="L195" s="67">
        <f>CHOOSE(Plan!$K$5,'Calc Smart'!I201,'Calc Avalanche'!I201,'Calc Snowball'!I201,'Calc Cashflow'!I201)</f>
        <v/>
      </c>
      <c r="M195" s="67">
        <f>CHOOSE(Plan!$K$5,'Calc Smart'!J201,'Calc Avalanche'!J201,'Calc Snowball'!J201,'Calc Cashflow'!J201)</f>
        <v/>
      </c>
      <c r="N195" s="67">
        <f>CHOOSE(Plan!$K$5,'Calc Smart'!K201,'Calc Avalanche'!K201,'Calc Snowball'!K201,'Calc Cashflow'!K201)</f>
        <v/>
      </c>
      <c r="O195" s="67">
        <f>CHOOSE(Plan!$K$5,'Calc Smart'!L201,'Calc Avalanche'!L201,'Calc Snowball'!L201,'Calc Cashflow'!L201)</f>
        <v/>
      </c>
      <c r="P195" s="67">
        <f>CHOOSE(Plan!$K$5,'Calc Smart'!M201,'Calc Avalanche'!M201,'Calc Snowball'!M201,'Calc Cashflow'!M201)</f>
        <v/>
      </c>
      <c r="Q195" s="67">
        <f>CHOOSE(Plan!$K$5,'Calc Smart'!N201,'Calc Avalanche'!N201,'Calc Snowball'!N201,'Calc Cashflow'!N201)</f>
        <v/>
      </c>
    </row>
    <row r="196">
      <c r="B196" s="64">
        <f>EDATE(Plan!$C$6,190)</f>
        <v/>
      </c>
      <c r="C196" s="31">
        <f>CHOOSE(Plan!$K$5,'Calc Smart'!AE202,'Calc Avalanche'!AE202,'Calc Snowball'!AE202,'Calc Cashflow'!AE202)</f>
        <v/>
      </c>
      <c r="D196" s="31">
        <f>CHOOSE(Plan!$K$5,'Calc Smart'!AD202,'Calc Avalanche'!AD202,'Calc Snowball'!AD202,'Calc Cashflow'!AD202)</f>
        <v/>
      </c>
      <c r="E196" s="40">
        <f>CHOOSE(Plan!$K$5,COUNTIF('Calc Smart'!C202:N202,"&gt;0"),COUNTIF('Calc Avalanche'!C202:N202,"&gt;0"),COUNTIF('Calc Snowball'!C202:N202,"&gt;0"),COUNTIF('Calc Cashflow'!C202:N202,"&gt;0"))</f>
        <v/>
      </c>
      <c r="F196" s="65">
        <f>CHOOSE(Plan!$K$5,'Calc Smart'!C202,'Calc Avalanche'!C202,'Calc Snowball'!C202,'Calc Cashflow'!C202)</f>
        <v/>
      </c>
      <c r="G196" s="65">
        <f>CHOOSE(Plan!$K$5,'Calc Smart'!D202,'Calc Avalanche'!D202,'Calc Snowball'!D202,'Calc Cashflow'!D202)</f>
        <v/>
      </c>
      <c r="H196" s="65">
        <f>CHOOSE(Plan!$K$5,'Calc Smart'!E202,'Calc Avalanche'!E202,'Calc Snowball'!E202,'Calc Cashflow'!E202)</f>
        <v/>
      </c>
      <c r="I196" s="65">
        <f>CHOOSE(Plan!$K$5,'Calc Smart'!F202,'Calc Avalanche'!F202,'Calc Snowball'!F202,'Calc Cashflow'!F202)</f>
        <v/>
      </c>
      <c r="J196" s="65">
        <f>CHOOSE(Plan!$K$5,'Calc Smart'!G202,'Calc Avalanche'!G202,'Calc Snowball'!G202,'Calc Cashflow'!G202)</f>
        <v/>
      </c>
      <c r="K196" s="65">
        <f>CHOOSE(Plan!$K$5,'Calc Smart'!H202,'Calc Avalanche'!H202,'Calc Snowball'!H202,'Calc Cashflow'!H202)</f>
        <v/>
      </c>
      <c r="L196" s="65">
        <f>CHOOSE(Plan!$K$5,'Calc Smart'!I202,'Calc Avalanche'!I202,'Calc Snowball'!I202,'Calc Cashflow'!I202)</f>
        <v/>
      </c>
      <c r="M196" s="65">
        <f>CHOOSE(Plan!$K$5,'Calc Smart'!J202,'Calc Avalanche'!J202,'Calc Snowball'!J202,'Calc Cashflow'!J202)</f>
        <v/>
      </c>
      <c r="N196" s="65">
        <f>CHOOSE(Plan!$K$5,'Calc Smart'!K202,'Calc Avalanche'!K202,'Calc Snowball'!K202,'Calc Cashflow'!K202)</f>
        <v/>
      </c>
      <c r="O196" s="65">
        <f>CHOOSE(Plan!$K$5,'Calc Smart'!L202,'Calc Avalanche'!L202,'Calc Snowball'!L202,'Calc Cashflow'!L202)</f>
        <v/>
      </c>
      <c r="P196" s="65">
        <f>CHOOSE(Plan!$K$5,'Calc Smart'!M202,'Calc Avalanche'!M202,'Calc Snowball'!M202,'Calc Cashflow'!M202)</f>
        <v/>
      </c>
      <c r="Q196" s="65">
        <f>CHOOSE(Plan!$K$5,'Calc Smart'!N202,'Calc Avalanche'!N202,'Calc Snowball'!N202,'Calc Cashflow'!N202)</f>
        <v/>
      </c>
    </row>
    <row r="197">
      <c r="B197" s="66">
        <f>EDATE(Plan!$C$6,191)</f>
        <v/>
      </c>
      <c r="C197" s="32">
        <f>CHOOSE(Plan!$K$5,'Calc Smart'!AE203,'Calc Avalanche'!AE203,'Calc Snowball'!AE203,'Calc Cashflow'!AE203)</f>
        <v/>
      </c>
      <c r="D197" s="32">
        <f>CHOOSE(Plan!$K$5,'Calc Smart'!AD203,'Calc Avalanche'!AD203,'Calc Snowball'!AD203,'Calc Cashflow'!AD203)</f>
        <v/>
      </c>
      <c r="E197" s="43">
        <f>CHOOSE(Plan!$K$5,COUNTIF('Calc Smart'!C203:N203,"&gt;0"),COUNTIF('Calc Avalanche'!C203:N203,"&gt;0"),COUNTIF('Calc Snowball'!C203:N203,"&gt;0"),COUNTIF('Calc Cashflow'!C203:N203,"&gt;0"))</f>
        <v/>
      </c>
      <c r="F197" s="67">
        <f>CHOOSE(Plan!$K$5,'Calc Smart'!C203,'Calc Avalanche'!C203,'Calc Snowball'!C203,'Calc Cashflow'!C203)</f>
        <v/>
      </c>
      <c r="G197" s="67">
        <f>CHOOSE(Plan!$K$5,'Calc Smart'!D203,'Calc Avalanche'!D203,'Calc Snowball'!D203,'Calc Cashflow'!D203)</f>
        <v/>
      </c>
      <c r="H197" s="67">
        <f>CHOOSE(Plan!$K$5,'Calc Smart'!E203,'Calc Avalanche'!E203,'Calc Snowball'!E203,'Calc Cashflow'!E203)</f>
        <v/>
      </c>
      <c r="I197" s="67">
        <f>CHOOSE(Plan!$K$5,'Calc Smart'!F203,'Calc Avalanche'!F203,'Calc Snowball'!F203,'Calc Cashflow'!F203)</f>
        <v/>
      </c>
      <c r="J197" s="67">
        <f>CHOOSE(Plan!$K$5,'Calc Smart'!G203,'Calc Avalanche'!G203,'Calc Snowball'!G203,'Calc Cashflow'!G203)</f>
        <v/>
      </c>
      <c r="K197" s="67">
        <f>CHOOSE(Plan!$K$5,'Calc Smart'!H203,'Calc Avalanche'!H203,'Calc Snowball'!H203,'Calc Cashflow'!H203)</f>
        <v/>
      </c>
      <c r="L197" s="67">
        <f>CHOOSE(Plan!$K$5,'Calc Smart'!I203,'Calc Avalanche'!I203,'Calc Snowball'!I203,'Calc Cashflow'!I203)</f>
        <v/>
      </c>
      <c r="M197" s="67">
        <f>CHOOSE(Plan!$K$5,'Calc Smart'!J203,'Calc Avalanche'!J203,'Calc Snowball'!J203,'Calc Cashflow'!J203)</f>
        <v/>
      </c>
      <c r="N197" s="67">
        <f>CHOOSE(Plan!$K$5,'Calc Smart'!K203,'Calc Avalanche'!K203,'Calc Snowball'!K203,'Calc Cashflow'!K203)</f>
        <v/>
      </c>
      <c r="O197" s="67">
        <f>CHOOSE(Plan!$K$5,'Calc Smart'!L203,'Calc Avalanche'!L203,'Calc Snowball'!L203,'Calc Cashflow'!L203)</f>
        <v/>
      </c>
      <c r="P197" s="67">
        <f>CHOOSE(Plan!$K$5,'Calc Smart'!M203,'Calc Avalanche'!M203,'Calc Snowball'!M203,'Calc Cashflow'!M203)</f>
        <v/>
      </c>
      <c r="Q197" s="67">
        <f>CHOOSE(Plan!$K$5,'Calc Smart'!N203,'Calc Avalanche'!N203,'Calc Snowball'!N203,'Calc Cashflow'!N203)</f>
        <v/>
      </c>
    </row>
    <row r="198">
      <c r="B198" s="64">
        <f>EDATE(Plan!$C$6,192)</f>
        <v/>
      </c>
      <c r="C198" s="31">
        <f>CHOOSE(Plan!$K$5,'Calc Smart'!AE204,'Calc Avalanche'!AE204,'Calc Snowball'!AE204,'Calc Cashflow'!AE204)</f>
        <v/>
      </c>
      <c r="D198" s="31">
        <f>CHOOSE(Plan!$K$5,'Calc Smart'!AD204,'Calc Avalanche'!AD204,'Calc Snowball'!AD204,'Calc Cashflow'!AD204)</f>
        <v/>
      </c>
      <c r="E198" s="40">
        <f>CHOOSE(Plan!$K$5,COUNTIF('Calc Smart'!C204:N204,"&gt;0"),COUNTIF('Calc Avalanche'!C204:N204,"&gt;0"),COUNTIF('Calc Snowball'!C204:N204,"&gt;0"),COUNTIF('Calc Cashflow'!C204:N204,"&gt;0"))</f>
        <v/>
      </c>
      <c r="F198" s="65">
        <f>CHOOSE(Plan!$K$5,'Calc Smart'!C204,'Calc Avalanche'!C204,'Calc Snowball'!C204,'Calc Cashflow'!C204)</f>
        <v/>
      </c>
      <c r="G198" s="65">
        <f>CHOOSE(Plan!$K$5,'Calc Smart'!D204,'Calc Avalanche'!D204,'Calc Snowball'!D204,'Calc Cashflow'!D204)</f>
        <v/>
      </c>
      <c r="H198" s="65">
        <f>CHOOSE(Plan!$K$5,'Calc Smart'!E204,'Calc Avalanche'!E204,'Calc Snowball'!E204,'Calc Cashflow'!E204)</f>
        <v/>
      </c>
      <c r="I198" s="65">
        <f>CHOOSE(Plan!$K$5,'Calc Smart'!F204,'Calc Avalanche'!F204,'Calc Snowball'!F204,'Calc Cashflow'!F204)</f>
        <v/>
      </c>
      <c r="J198" s="65">
        <f>CHOOSE(Plan!$K$5,'Calc Smart'!G204,'Calc Avalanche'!G204,'Calc Snowball'!G204,'Calc Cashflow'!G204)</f>
        <v/>
      </c>
      <c r="K198" s="65">
        <f>CHOOSE(Plan!$K$5,'Calc Smart'!H204,'Calc Avalanche'!H204,'Calc Snowball'!H204,'Calc Cashflow'!H204)</f>
        <v/>
      </c>
      <c r="L198" s="65">
        <f>CHOOSE(Plan!$K$5,'Calc Smart'!I204,'Calc Avalanche'!I204,'Calc Snowball'!I204,'Calc Cashflow'!I204)</f>
        <v/>
      </c>
      <c r="M198" s="65">
        <f>CHOOSE(Plan!$K$5,'Calc Smart'!J204,'Calc Avalanche'!J204,'Calc Snowball'!J204,'Calc Cashflow'!J204)</f>
        <v/>
      </c>
      <c r="N198" s="65">
        <f>CHOOSE(Plan!$K$5,'Calc Smart'!K204,'Calc Avalanche'!K204,'Calc Snowball'!K204,'Calc Cashflow'!K204)</f>
        <v/>
      </c>
      <c r="O198" s="65">
        <f>CHOOSE(Plan!$K$5,'Calc Smart'!L204,'Calc Avalanche'!L204,'Calc Snowball'!L204,'Calc Cashflow'!L204)</f>
        <v/>
      </c>
      <c r="P198" s="65">
        <f>CHOOSE(Plan!$K$5,'Calc Smart'!M204,'Calc Avalanche'!M204,'Calc Snowball'!M204,'Calc Cashflow'!M204)</f>
        <v/>
      </c>
      <c r="Q198" s="65">
        <f>CHOOSE(Plan!$K$5,'Calc Smart'!N204,'Calc Avalanche'!N204,'Calc Snowball'!N204,'Calc Cashflow'!N204)</f>
        <v/>
      </c>
    </row>
    <row r="199">
      <c r="B199" s="66">
        <f>EDATE(Plan!$C$6,193)</f>
        <v/>
      </c>
      <c r="C199" s="32">
        <f>CHOOSE(Plan!$K$5,'Calc Smart'!AE205,'Calc Avalanche'!AE205,'Calc Snowball'!AE205,'Calc Cashflow'!AE205)</f>
        <v/>
      </c>
      <c r="D199" s="32">
        <f>CHOOSE(Plan!$K$5,'Calc Smart'!AD205,'Calc Avalanche'!AD205,'Calc Snowball'!AD205,'Calc Cashflow'!AD205)</f>
        <v/>
      </c>
      <c r="E199" s="43">
        <f>CHOOSE(Plan!$K$5,COUNTIF('Calc Smart'!C205:N205,"&gt;0"),COUNTIF('Calc Avalanche'!C205:N205,"&gt;0"),COUNTIF('Calc Snowball'!C205:N205,"&gt;0"),COUNTIF('Calc Cashflow'!C205:N205,"&gt;0"))</f>
        <v/>
      </c>
      <c r="F199" s="67">
        <f>CHOOSE(Plan!$K$5,'Calc Smart'!C205,'Calc Avalanche'!C205,'Calc Snowball'!C205,'Calc Cashflow'!C205)</f>
        <v/>
      </c>
      <c r="G199" s="67">
        <f>CHOOSE(Plan!$K$5,'Calc Smart'!D205,'Calc Avalanche'!D205,'Calc Snowball'!D205,'Calc Cashflow'!D205)</f>
        <v/>
      </c>
      <c r="H199" s="67">
        <f>CHOOSE(Plan!$K$5,'Calc Smart'!E205,'Calc Avalanche'!E205,'Calc Snowball'!E205,'Calc Cashflow'!E205)</f>
        <v/>
      </c>
      <c r="I199" s="67">
        <f>CHOOSE(Plan!$K$5,'Calc Smart'!F205,'Calc Avalanche'!F205,'Calc Snowball'!F205,'Calc Cashflow'!F205)</f>
        <v/>
      </c>
      <c r="J199" s="67">
        <f>CHOOSE(Plan!$K$5,'Calc Smart'!G205,'Calc Avalanche'!G205,'Calc Snowball'!G205,'Calc Cashflow'!G205)</f>
        <v/>
      </c>
      <c r="K199" s="67">
        <f>CHOOSE(Plan!$K$5,'Calc Smart'!H205,'Calc Avalanche'!H205,'Calc Snowball'!H205,'Calc Cashflow'!H205)</f>
        <v/>
      </c>
      <c r="L199" s="67">
        <f>CHOOSE(Plan!$K$5,'Calc Smart'!I205,'Calc Avalanche'!I205,'Calc Snowball'!I205,'Calc Cashflow'!I205)</f>
        <v/>
      </c>
      <c r="M199" s="67">
        <f>CHOOSE(Plan!$K$5,'Calc Smart'!J205,'Calc Avalanche'!J205,'Calc Snowball'!J205,'Calc Cashflow'!J205)</f>
        <v/>
      </c>
      <c r="N199" s="67">
        <f>CHOOSE(Plan!$K$5,'Calc Smart'!K205,'Calc Avalanche'!K205,'Calc Snowball'!K205,'Calc Cashflow'!K205)</f>
        <v/>
      </c>
      <c r="O199" s="67">
        <f>CHOOSE(Plan!$K$5,'Calc Smart'!L205,'Calc Avalanche'!L205,'Calc Snowball'!L205,'Calc Cashflow'!L205)</f>
        <v/>
      </c>
      <c r="P199" s="67">
        <f>CHOOSE(Plan!$K$5,'Calc Smart'!M205,'Calc Avalanche'!M205,'Calc Snowball'!M205,'Calc Cashflow'!M205)</f>
        <v/>
      </c>
      <c r="Q199" s="67">
        <f>CHOOSE(Plan!$K$5,'Calc Smart'!N205,'Calc Avalanche'!N205,'Calc Snowball'!N205,'Calc Cashflow'!N205)</f>
        <v/>
      </c>
    </row>
    <row r="200">
      <c r="B200" s="64">
        <f>EDATE(Plan!$C$6,194)</f>
        <v/>
      </c>
      <c r="C200" s="31">
        <f>CHOOSE(Plan!$K$5,'Calc Smart'!AE206,'Calc Avalanche'!AE206,'Calc Snowball'!AE206,'Calc Cashflow'!AE206)</f>
        <v/>
      </c>
      <c r="D200" s="31">
        <f>CHOOSE(Plan!$K$5,'Calc Smart'!AD206,'Calc Avalanche'!AD206,'Calc Snowball'!AD206,'Calc Cashflow'!AD206)</f>
        <v/>
      </c>
      <c r="E200" s="40">
        <f>CHOOSE(Plan!$K$5,COUNTIF('Calc Smart'!C206:N206,"&gt;0"),COUNTIF('Calc Avalanche'!C206:N206,"&gt;0"),COUNTIF('Calc Snowball'!C206:N206,"&gt;0"),COUNTIF('Calc Cashflow'!C206:N206,"&gt;0"))</f>
        <v/>
      </c>
      <c r="F200" s="65">
        <f>CHOOSE(Plan!$K$5,'Calc Smart'!C206,'Calc Avalanche'!C206,'Calc Snowball'!C206,'Calc Cashflow'!C206)</f>
        <v/>
      </c>
      <c r="G200" s="65">
        <f>CHOOSE(Plan!$K$5,'Calc Smart'!D206,'Calc Avalanche'!D206,'Calc Snowball'!D206,'Calc Cashflow'!D206)</f>
        <v/>
      </c>
      <c r="H200" s="65">
        <f>CHOOSE(Plan!$K$5,'Calc Smart'!E206,'Calc Avalanche'!E206,'Calc Snowball'!E206,'Calc Cashflow'!E206)</f>
        <v/>
      </c>
      <c r="I200" s="65">
        <f>CHOOSE(Plan!$K$5,'Calc Smart'!F206,'Calc Avalanche'!F206,'Calc Snowball'!F206,'Calc Cashflow'!F206)</f>
        <v/>
      </c>
      <c r="J200" s="65">
        <f>CHOOSE(Plan!$K$5,'Calc Smart'!G206,'Calc Avalanche'!G206,'Calc Snowball'!G206,'Calc Cashflow'!G206)</f>
        <v/>
      </c>
      <c r="K200" s="65">
        <f>CHOOSE(Plan!$K$5,'Calc Smart'!H206,'Calc Avalanche'!H206,'Calc Snowball'!H206,'Calc Cashflow'!H206)</f>
        <v/>
      </c>
      <c r="L200" s="65">
        <f>CHOOSE(Plan!$K$5,'Calc Smart'!I206,'Calc Avalanche'!I206,'Calc Snowball'!I206,'Calc Cashflow'!I206)</f>
        <v/>
      </c>
      <c r="M200" s="65">
        <f>CHOOSE(Plan!$K$5,'Calc Smart'!J206,'Calc Avalanche'!J206,'Calc Snowball'!J206,'Calc Cashflow'!J206)</f>
        <v/>
      </c>
      <c r="N200" s="65">
        <f>CHOOSE(Plan!$K$5,'Calc Smart'!K206,'Calc Avalanche'!K206,'Calc Snowball'!K206,'Calc Cashflow'!K206)</f>
        <v/>
      </c>
      <c r="O200" s="65">
        <f>CHOOSE(Plan!$K$5,'Calc Smart'!L206,'Calc Avalanche'!L206,'Calc Snowball'!L206,'Calc Cashflow'!L206)</f>
        <v/>
      </c>
      <c r="P200" s="65">
        <f>CHOOSE(Plan!$K$5,'Calc Smart'!M206,'Calc Avalanche'!M206,'Calc Snowball'!M206,'Calc Cashflow'!M206)</f>
        <v/>
      </c>
      <c r="Q200" s="65">
        <f>CHOOSE(Plan!$K$5,'Calc Smart'!N206,'Calc Avalanche'!N206,'Calc Snowball'!N206,'Calc Cashflow'!N206)</f>
        <v/>
      </c>
    </row>
    <row r="201">
      <c r="B201" s="66">
        <f>EDATE(Plan!$C$6,195)</f>
        <v/>
      </c>
      <c r="C201" s="32">
        <f>CHOOSE(Plan!$K$5,'Calc Smart'!AE207,'Calc Avalanche'!AE207,'Calc Snowball'!AE207,'Calc Cashflow'!AE207)</f>
        <v/>
      </c>
      <c r="D201" s="32">
        <f>CHOOSE(Plan!$K$5,'Calc Smart'!AD207,'Calc Avalanche'!AD207,'Calc Snowball'!AD207,'Calc Cashflow'!AD207)</f>
        <v/>
      </c>
      <c r="E201" s="43">
        <f>CHOOSE(Plan!$K$5,COUNTIF('Calc Smart'!C207:N207,"&gt;0"),COUNTIF('Calc Avalanche'!C207:N207,"&gt;0"),COUNTIF('Calc Snowball'!C207:N207,"&gt;0"),COUNTIF('Calc Cashflow'!C207:N207,"&gt;0"))</f>
        <v/>
      </c>
      <c r="F201" s="67">
        <f>CHOOSE(Plan!$K$5,'Calc Smart'!C207,'Calc Avalanche'!C207,'Calc Snowball'!C207,'Calc Cashflow'!C207)</f>
        <v/>
      </c>
      <c r="G201" s="67">
        <f>CHOOSE(Plan!$K$5,'Calc Smart'!D207,'Calc Avalanche'!D207,'Calc Snowball'!D207,'Calc Cashflow'!D207)</f>
        <v/>
      </c>
      <c r="H201" s="67">
        <f>CHOOSE(Plan!$K$5,'Calc Smart'!E207,'Calc Avalanche'!E207,'Calc Snowball'!E207,'Calc Cashflow'!E207)</f>
        <v/>
      </c>
      <c r="I201" s="67">
        <f>CHOOSE(Plan!$K$5,'Calc Smart'!F207,'Calc Avalanche'!F207,'Calc Snowball'!F207,'Calc Cashflow'!F207)</f>
        <v/>
      </c>
      <c r="J201" s="67">
        <f>CHOOSE(Plan!$K$5,'Calc Smart'!G207,'Calc Avalanche'!G207,'Calc Snowball'!G207,'Calc Cashflow'!G207)</f>
        <v/>
      </c>
      <c r="K201" s="67">
        <f>CHOOSE(Plan!$K$5,'Calc Smart'!H207,'Calc Avalanche'!H207,'Calc Snowball'!H207,'Calc Cashflow'!H207)</f>
        <v/>
      </c>
      <c r="L201" s="67">
        <f>CHOOSE(Plan!$K$5,'Calc Smart'!I207,'Calc Avalanche'!I207,'Calc Snowball'!I207,'Calc Cashflow'!I207)</f>
        <v/>
      </c>
      <c r="M201" s="67">
        <f>CHOOSE(Plan!$K$5,'Calc Smart'!J207,'Calc Avalanche'!J207,'Calc Snowball'!J207,'Calc Cashflow'!J207)</f>
        <v/>
      </c>
      <c r="N201" s="67">
        <f>CHOOSE(Plan!$K$5,'Calc Smart'!K207,'Calc Avalanche'!K207,'Calc Snowball'!K207,'Calc Cashflow'!K207)</f>
        <v/>
      </c>
      <c r="O201" s="67">
        <f>CHOOSE(Plan!$K$5,'Calc Smart'!L207,'Calc Avalanche'!L207,'Calc Snowball'!L207,'Calc Cashflow'!L207)</f>
        <v/>
      </c>
      <c r="P201" s="67">
        <f>CHOOSE(Plan!$K$5,'Calc Smart'!M207,'Calc Avalanche'!M207,'Calc Snowball'!M207,'Calc Cashflow'!M207)</f>
        <v/>
      </c>
      <c r="Q201" s="67">
        <f>CHOOSE(Plan!$K$5,'Calc Smart'!N207,'Calc Avalanche'!N207,'Calc Snowball'!N207,'Calc Cashflow'!N207)</f>
        <v/>
      </c>
    </row>
    <row r="202">
      <c r="B202" s="64">
        <f>EDATE(Plan!$C$6,196)</f>
        <v/>
      </c>
      <c r="C202" s="31">
        <f>CHOOSE(Plan!$K$5,'Calc Smart'!AE208,'Calc Avalanche'!AE208,'Calc Snowball'!AE208,'Calc Cashflow'!AE208)</f>
        <v/>
      </c>
      <c r="D202" s="31">
        <f>CHOOSE(Plan!$K$5,'Calc Smart'!AD208,'Calc Avalanche'!AD208,'Calc Snowball'!AD208,'Calc Cashflow'!AD208)</f>
        <v/>
      </c>
      <c r="E202" s="40">
        <f>CHOOSE(Plan!$K$5,COUNTIF('Calc Smart'!C208:N208,"&gt;0"),COUNTIF('Calc Avalanche'!C208:N208,"&gt;0"),COUNTIF('Calc Snowball'!C208:N208,"&gt;0"),COUNTIF('Calc Cashflow'!C208:N208,"&gt;0"))</f>
        <v/>
      </c>
      <c r="F202" s="65">
        <f>CHOOSE(Plan!$K$5,'Calc Smart'!C208,'Calc Avalanche'!C208,'Calc Snowball'!C208,'Calc Cashflow'!C208)</f>
        <v/>
      </c>
      <c r="G202" s="65">
        <f>CHOOSE(Plan!$K$5,'Calc Smart'!D208,'Calc Avalanche'!D208,'Calc Snowball'!D208,'Calc Cashflow'!D208)</f>
        <v/>
      </c>
      <c r="H202" s="65">
        <f>CHOOSE(Plan!$K$5,'Calc Smart'!E208,'Calc Avalanche'!E208,'Calc Snowball'!E208,'Calc Cashflow'!E208)</f>
        <v/>
      </c>
      <c r="I202" s="65">
        <f>CHOOSE(Plan!$K$5,'Calc Smart'!F208,'Calc Avalanche'!F208,'Calc Snowball'!F208,'Calc Cashflow'!F208)</f>
        <v/>
      </c>
      <c r="J202" s="65">
        <f>CHOOSE(Plan!$K$5,'Calc Smart'!G208,'Calc Avalanche'!G208,'Calc Snowball'!G208,'Calc Cashflow'!G208)</f>
        <v/>
      </c>
      <c r="K202" s="65">
        <f>CHOOSE(Plan!$K$5,'Calc Smart'!H208,'Calc Avalanche'!H208,'Calc Snowball'!H208,'Calc Cashflow'!H208)</f>
        <v/>
      </c>
      <c r="L202" s="65">
        <f>CHOOSE(Plan!$K$5,'Calc Smart'!I208,'Calc Avalanche'!I208,'Calc Snowball'!I208,'Calc Cashflow'!I208)</f>
        <v/>
      </c>
      <c r="M202" s="65">
        <f>CHOOSE(Plan!$K$5,'Calc Smart'!J208,'Calc Avalanche'!J208,'Calc Snowball'!J208,'Calc Cashflow'!J208)</f>
        <v/>
      </c>
      <c r="N202" s="65">
        <f>CHOOSE(Plan!$K$5,'Calc Smart'!K208,'Calc Avalanche'!K208,'Calc Snowball'!K208,'Calc Cashflow'!K208)</f>
        <v/>
      </c>
      <c r="O202" s="65">
        <f>CHOOSE(Plan!$K$5,'Calc Smart'!L208,'Calc Avalanche'!L208,'Calc Snowball'!L208,'Calc Cashflow'!L208)</f>
        <v/>
      </c>
      <c r="P202" s="65">
        <f>CHOOSE(Plan!$K$5,'Calc Smart'!M208,'Calc Avalanche'!M208,'Calc Snowball'!M208,'Calc Cashflow'!M208)</f>
        <v/>
      </c>
      <c r="Q202" s="65">
        <f>CHOOSE(Plan!$K$5,'Calc Smart'!N208,'Calc Avalanche'!N208,'Calc Snowball'!N208,'Calc Cashflow'!N208)</f>
        <v/>
      </c>
    </row>
    <row r="203">
      <c r="B203" s="66">
        <f>EDATE(Plan!$C$6,197)</f>
        <v/>
      </c>
      <c r="C203" s="32">
        <f>CHOOSE(Plan!$K$5,'Calc Smart'!AE209,'Calc Avalanche'!AE209,'Calc Snowball'!AE209,'Calc Cashflow'!AE209)</f>
        <v/>
      </c>
      <c r="D203" s="32">
        <f>CHOOSE(Plan!$K$5,'Calc Smart'!AD209,'Calc Avalanche'!AD209,'Calc Snowball'!AD209,'Calc Cashflow'!AD209)</f>
        <v/>
      </c>
      <c r="E203" s="43">
        <f>CHOOSE(Plan!$K$5,COUNTIF('Calc Smart'!C209:N209,"&gt;0"),COUNTIF('Calc Avalanche'!C209:N209,"&gt;0"),COUNTIF('Calc Snowball'!C209:N209,"&gt;0"),COUNTIF('Calc Cashflow'!C209:N209,"&gt;0"))</f>
        <v/>
      </c>
      <c r="F203" s="67">
        <f>CHOOSE(Plan!$K$5,'Calc Smart'!C209,'Calc Avalanche'!C209,'Calc Snowball'!C209,'Calc Cashflow'!C209)</f>
        <v/>
      </c>
      <c r="G203" s="67">
        <f>CHOOSE(Plan!$K$5,'Calc Smart'!D209,'Calc Avalanche'!D209,'Calc Snowball'!D209,'Calc Cashflow'!D209)</f>
        <v/>
      </c>
      <c r="H203" s="67">
        <f>CHOOSE(Plan!$K$5,'Calc Smart'!E209,'Calc Avalanche'!E209,'Calc Snowball'!E209,'Calc Cashflow'!E209)</f>
        <v/>
      </c>
      <c r="I203" s="67">
        <f>CHOOSE(Plan!$K$5,'Calc Smart'!F209,'Calc Avalanche'!F209,'Calc Snowball'!F209,'Calc Cashflow'!F209)</f>
        <v/>
      </c>
      <c r="J203" s="67">
        <f>CHOOSE(Plan!$K$5,'Calc Smart'!G209,'Calc Avalanche'!G209,'Calc Snowball'!G209,'Calc Cashflow'!G209)</f>
        <v/>
      </c>
      <c r="K203" s="67">
        <f>CHOOSE(Plan!$K$5,'Calc Smart'!H209,'Calc Avalanche'!H209,'Calc Snowball'!H209,'Calc Cashflow'!H209)</f>
        <v/>
      </c>
      <c r="L203" s="67">
        <f>CHOOSE(Plan!$K$5,'Calc Smart'!I209,'Calc Avalanche'!I209,'Calc Snowball'!I209,'Calc Cashflow'!I209)</f>
        <v/>
      </c>
      <c r="M203" s="67">
        <f>CHOOSE(Plan!$K$5,'Calc Smart'!J209,'Calc Avalanche'!J209,'Calc Snowball'!J209,'Calc Cashflow'!J209)</f>
        <v/>
      </c>
      <c r="N203" s="67">
        <f>CHOOSE(Plan!$K$5,'Calc Smart'!K209,'Calc Avalanche'!K209,'Calc Snowball'!K209,'Calc Cashflow'!K209)</f>
        <v/>
      </c>
      <c r="O203" s="67">
        <f>CHOOSE(Plan!$K$5,'Calc Smart'!L209,'Calc Avalanche'!L209,'Calc Snowball'!L209,'Calc Cashflow'!L209)</f>
        <v/>
      </c>
      <c r="P203" s="67">
        <f>CHOOSE(Plan!$K$5,'Calc Smart'!M209,'Calc Avalanche'!M209,'Calc Snowball'!M209,'Calc Cashflow'!M209)</f>
        <v/>
      </c>
      <c r="Q203" s="67">
        <f>CHOOSE(Plan!$K$5,'Calc Smart'!N209,'Calc Avalanche'!N209,'Calc Snowball'!N209,'Calc Cashflow'!N209)</f>
        <v/>
      </c>
    </row>
    <row r="204">
      <c r="B204" s="64">
        <f>EDATE(Plan!$C$6,198)</f>
        <v/>
      </c>
      <c r="C204" s="31">
        <f>CHOOSE(Plan!$K$5,'Calc Smart'!AE210,'Calc Avalanche'!AE210,'Calc Snowball'!AE210,'Calc Cashflow'!AE210)</f>
        <v/>
      </c>
      <c r="D204" s="31">
        <f>CHOOSE(Plan!$K$5,'Calc Smart'!AD210,'Calc Avalanche'!AD210,'Calc Snowball'!AD210,'Calc Cashflow'!AD210)</f>
        <v/>
      </c>
      <c r="E204" s="40">
        <f>CHOOSE(Plan!$K$5,COUNTIF('Calc Smart'!C210:N210,"&gt;0"),COUNTIF('Calc Avalanche'!C210:N210,"&gt;0"),COUNTIF('Calc Snowball'!C210:N210,"&gt;0"),COUNTIF('Calc Cashflow'!C210:N210,"&gt;0"))</f>
        <v/>
      </c>
      <c r="F204" s="65">
        <f>CHOOSE(Plan!$K$5,'Calc Smart'!C210,'Calc Avalanche'!C210,'Calc Snowball'!C210,'Calc Cashflow'!C210)</f>
        <v/>
      </c>
      <c r="G204" s="65">
        <f>CHOOSE(Plan!$K$5,'Calc Smart'!D210,'Calc Avalanche'!D210,'Calc Snowball'!D210,'Calc Cashflow'!D210)</f>
        <v/>
      </c>
      <c r="H204" s="65">
        <f>CHOOSE(Plan!$K$5,'Calc Smart'!E210,'Calc Avalanche'!E210,'Calc Snowball'!E210,'Calc Cashflow'!E210)</f>
        <v/>
      </c>
      <c r="I204" s="65">
        <f>CHOOSE(Plan!$K$5,'Calc Smart'!F210,'Calc Avalanche'!F210,'Calc Snowball'!F210,'Calc Cashflow'!F210)</f>
        <v/>
      </c>
      <c r="J204" s="65">
        <f>CHOOSE(Plan!$K$5,'Calc Smart'!G210,'Calc Avalanche'!G210,'Calc Snowball'!G210,'Calc Cashflow'!G210)</f>
        <v/>
      </c>
      <c r="K204" s="65">
        <f>CHOOSE(Plan!$K$5,'Calc Smart'!H210,'Calc Avalanche'!H210,'Calc Snowball'!H210,'Calc Cashflow'!H210)</f>
        <v/>
      </c>
      <c r="L204" s="65">
        <f>CHOOSE(Plan!$K$5,'Calc Smart'!I210,'Calc Avalanche'!I210,'Calc Snowball'!I210,'Calc Cashflow'!I210)</f>
        <v/>
      </c>
      <c r="M204" s="65">
        <f>CHOOSE(Plan!$K$5,'Calc Smart'!J210,'Calc Avalanche'!J210,'Calc Snowball'!J210,'Calc Cashflow'!J210)</f>
        <v/>
      </c>
      <c r="N204" s="65">
        <f>CHOOSE(Plan!$K$5,'Calc Smart'!K210,'Calc Avalanche'!K210,'Calc Snowball'!K210,'Calc Cashflow'!K210)</f>
        <v/>
      </c>
      <c r="O204" s="65">
        <f>CHOOSE(Plan!$K$5,'Calc Smart'!L210,'Calc Avalanche'!L210,'Calc Snowball'!L210,'Calc Cashflow'!L210)</f>
        <v/>
      </c>
      <c r="P204" s="65">
        <f>CHOOSE(Plan!$K$5,'Calc Smart'!M210,'Calc Avalanche'!M210,'Calc Snowball'!M210,'Calc Cashflow'!M210)</f>
        <v/>
      </c>
      <c r="Q204" s="65">
        <f>CHOOSE(Plan!$K$5,'Calc Smart'!N210,'Calc Avalanche'!N210,'Calc Snowball'!N210,'Calc Cashflow'!N210)</f>
        <v/>
      </c>
    </row>
    <row r="205">
      <c r="B205" s="66">
        <f>EDATE(Plan!$C$6,199)</f>
        <v/>
      </c>
      <c r="C205" s="32">
        <f>CHOOSE(Plan!$K$5,'Calc Smart'!AE211,'Calc Avalanche'!AE211,'Calc Snowball'!AE211,'Calc Cashflow'!AE211)</f>
        <v/>
      </c>
      <c r="D205" s="32">
        <f>CHOOSE(Plan!$K$5,'Calc Smart'!AD211,'Calc Avalanche'!AD211,'Calc Snowball'!AD211,'Calc Cashflow'!AD211)</f>
        <v/>
      </c>
      <c r="E205" s="43">
        <f>CHOOSE(Plan!$K$5,COUNTIF('Calc Smart'!C211:N211,"&gt;0"),COUNTIF('Calc Avalanche'!C211:N211,"&gt;0"),COUNTIF('Calc Snowball'!C211:N211,"&gt;0"),COUNTIF('Calc Cashflow'!C211:N211,"&gt;0"))</f>
        <v/>
      </c>
      <c r="F205" s="67">
        <f>CHOOSE(Plan!$K$5,'Calc Smart'!C211,'Calc Avalanche'!C211,'Calc Snowball'!C211,'Calc Cashflow'!C211)</f>
        <v/>
      </c>
      <c r="G205" s="67">
        <f>CHOOSE(Plan!$K$5,'Calc Smart'!D211,'Calc Avalanche'!D211,'Calc Snowball'!D211,'Calc Cashflow'!D211)</f>
        <v/>
      </c>
      <c r="H205" s="67">
        <f>CHOOSE(Plan!$K$5,'Calc Smart'!E211,'Calc Avalanche'!E211,'Calc Snowball'!E211,'Calc Cashflow'!E211)</f>
        <v/>
      </c>
      <c r="I205" s="67">
        <f>CHOOSE(Plan!$K$5,'Calc Smart'!F211,'Calc Avalanche'!F211,'Calc Snowball'!F211,'Calc Cashflow'!F211)</f>
        <v/>
      </c>
      <c r="J205" s="67">
        <f>CHOOSE(Plan!$K$5,'Calc Smart'!G211,'Calc Avalanche'!G211,'Calc Snowball'!G211,'Calc Cashflow'!G211)</f>
        <v/>
      </c>
      <c r="K205" s="67">
        <f>CHOOSE(Plan!$K$5,'Calc Smart'!H211,'Calc Avalanche'!H211,'Calc Snowball'!H211,'Calc Cashflow'!H211)</f>
        <v/>
      </c>
      <c r="L205" s="67">
        <f>CHOOSE(Plan!$K$5,'Calc Smart'!I211,'Calc Avalanche'!I211,'Calc Snowball'!I211,'Calc Cashflow'!I211)</f>
        <v/>
      </c>
      <c r="M205" s="67">
        <f>CHOOSE(Plan!$K$5,'Calc Smart'!J211,'Calc Avalanche'!J211,'Calc Snowball'!J211,'Calc Cashflow'!J211)</f>
        <v/>
      </c>
      <c r="N205" s="67">
        <f>CHOOSE(Plan!$K$5,'Calc Smart'!K211,'Calc Avalanche'!K211,'Calc Snowball'!K211,'Calc Cashflow'!K211)</f>
        <v/>
      </c>
      <c r="O205" s="67">
        <f>CHOOSE(Plan!$K$5,'Calc Smart'!L211,'Calc Avalanche'!L211,'Calc Snowball'!L211,'Calc Cashflow'!L211)</f>
        <v/>
      </c>
      <c r="P205" s="67">
        <f>CHOOSE(Plan!$K$5,'Calc Smart'!M211,'Calc Avalanche'!M211,'Calc Snowball'!M211,'Calc Cashflow'!M211)</f>
        <v/>
      </c>
      <c r="Q205" s="67">
        <f>CHOOSE(Plan!$K$5,'Calc Smart'!N211,'Calc Avalanche'!N211,'Calc Snowball'!N211,'Calc Cashflow'!N211)</f>
        <v/>
      </c>
    </row>
    <row r="206">
      <c r="B206" s="64">
        <f>EDATE(Plan!$C$6,200)</f>
        <v/>
      </c>
      <c r="C206" s="31">
        <f>CHOOSE(Plan!$K$5,'Calc Smart'!AE212,'Calc Avalanche'!AE212,'Calc Snowball'!AE212,'Calc Cashflow'!AE212)</f>
        <v/>
      </c>
      <c r="D206" s="31">
        <f>CHOOSE(Plan!$K$5,'Calc Smart'!AD212,'Calc Avalanche'!AD212,'Calc Snowball'!AD212,'Calc Cashflow'!AD212)</f>
        <v/>
      </c>
      <c r="E206" s="40">
        <f>CHOOSE(Plan!$K$5,COUNTIF('Calc Smart'!C212:N212,"&gt;0"),COUNTIF('Calc Avalanche'!C212:N212,"&gt;0"),COUNTIF('Calc Snowball'!C212:N212,"&gt;0"),COUNTIF('Calc Cashflow'!C212:N212,"&gt;0"))</f>
        <v/>
      </c>
      <c r="F206" s="65">
        <f>CHOOSE(Plan!$K$5,'Calc Smart'!C212,'Calc Avalanche'!C212,'Calc Snowball'!C212,'Calc Cashflow'!C212)</f>
        <v/>
      </c>
      <c r="G206" s="65">
        <f>CHOOSE(Plan!$K$5,'Calc Smart'!D212,'Calc Avalanche'!D212,'Calc Snowball'!D212,'Calc Cashflow'!D212)</f>
        <v/>
      </c>
      <c r="H206" s="65">
        <f>CHOOSE(Plan!$K$5,'Calc Smart'!E212,'Calc Avalanche'!E212,'Calc Snowball'!E212,'Calc Cashflow'!E212)</f>
        <v/>
      </c>
      <c r="I206" s="65">
        <f>CHOOSE(Plan!$K$5,'Calc Smart'!F212,'Calc Avalanche'!F212,'Calc Snowball'!F212,'Calc Cashflow'!F212)</f>
        <v/>
      </c>
      <c r="J206" s="65">
        <f>CHOOSE(Plan!$K$5,'Calc Smart'!G212,'Calc Avalanche'!G212,'Calc Snowball'!G212,'Calc Cashflow'!G212)</f>
        <v/>
      </c>
      <c r="K206" s="65">
        <f>CHOOSE(Plan!$K$5,'Calc Smart'!H212,'Calc Avalanche'!H212,'Calc Snowball'!H212,'Calc Cashflow'!H212)</f>
        <v/>
      </c>
      <c r="L206" s="65">
        <f>CHOOSE(Plan!$K$5,'Calc Smart'!I212,'Calc Avalanche'!I212,'Calc Snowball'!I212,'Calc Cashflow'!I212)</f>
        <v/>
      </c>
      <c r="M206" s="65">
        <f>CHOOSE(Plan!$K$5,'Calc Smart'!J212,'Calc Avalanche'!J212,'Calc Snowball'!J212,'Calc Cashflow'!J212)</f>
        <v/>
      </c>
      <c r="N206" s="65">
        <f>CHOOSE(Plan!$K$5,'Calc Smart'!K212,'Calc Avalanche'!K212,'Calc Snowball'!K212,'Calc Cashflow'!K212)</f>
        <v/>
      </c>
      <c r="O206" s="65">
        <f>CHOOSE(Plan!$K$5,'Calc Smart'!L212,'Calc Avalanche'!L212,'Calc Snowball'!L212,'Calc Cashflow'!L212)</f>
        <v/>
      </c>
      <c r="P206" s="65">
        <f>CHOOSE(Plan!$K$5,'Calc Smart'!M212,'Calc Avalanche'!M212,'Calc Snowball'!M212,'Calc Cashflow'!M212)</f>
        <v/>
      </c>
      <c r="Q206" s="65">
        <f>CHOOSE(Plan!$K$5,'Calc Smart'!N212,'Calc Avalanche'!N212,'Calc Snowball'!N212,'Calc Cashflow'!N212)</f>
        <v/>
      </c>
    </row>
    <row r="207">
      <c r="B207" s="66">
        <f>EDATE(Plan!$C$6,201)</f>
        <v/>
      </c>
      <c r="C207" s="32">
        <f>CHOOSE(Plan!$K$5,'Calc Smart'!AE213,'Calc Avalanche'!AE213,'Calc Snowball'!AE213,'Calc Cashflow'!AE213)</f>
        <v/>
      </c>
      <c r="D207" s="32">
        <f>CHOOSE(Plan!$K$5,'Calc Smart'!AD213,'Calc Avalanche'!AD213,'Calc Snowball'!AD213,'Calc Cashflow'!AD213)</f>
        <v/>
      </c>
      <c r="E207" s="43">
        <f>CHOOSE(Plan!$K$5,COUNTIF('Calc Smart'!C213:N213,"&gt;0"),COUNTIF('Calc Avalanche'!C213:N213,"&gt;0"),COUNTIF('Calc Snowball'!C213:N213,"&gt;0"),COUNTIF('Calc Cashflow'!C213:N213,"&gt;0"))</f>
        <v/>
      </c>
      <c r="F207" s="67">
        <f>CHOOSE(Plan!$K$5,'Calc Smart'!C213,'Calc Avalanche'!C213,'Calc Snowball'!C213,'Calc Cashflow'!C213)</f>
        <v/>
      </c>
      <c r="G207" s="67">
        <f>CHOOSE(Plan!$K$5,'Calc Smart'!D213,'Calc Avalanche'!D213,'Calc Snowball'!D213,'Calc Cashflow'!D213)</f>
        <v/>
      </c>
      <c r="H207" s="67">
        <f>CHOOSE(Plan!$K$5,'Calc Smart'!E213,'Calc Avalanche'!E213,'Calc Snowball'!E213,'Calc Cashflow'!E213)</f>
        <v/>
      </c>
      <c r="I207" s="67">
        <f>CHOOSE(Plan!$K$5,'Calc Smart'!F213,'Calc Avalanche'!F213,'Calc Snowball'!F213,'Calc Cashflow'!F213)</f>
        <v/>
      </c>
      <c r="J207" s="67">
        <f>CHOOSE(Plan!$K$5,'Calc Smart'!G213,'Calc Avalanche'!G213,'Calc Snowball'!G213,'Calc Cashflow'!G213)</f>
        <v/>
      </c>
      <c r="K207" s="67">
        <f>CHOOSE(Plan!$K$5,'Calc Smart'!H213,'Calc Avalanche'!H213,'Calc Snowball'!H213,'Calc Cashflow'!H213)</f>
        <v/>
      </c>
      <c r="L207" s="67">
        <f>CHOOSE(Plan!$K$5,'Calc Smart'!I213,'Calc Avalanche'!I213,'Calc Snowball'!I213,'Calc Cashflow'!I213)</f>
        <v/>
      </c>
      <c r="M207" s="67">
        <f>CHOOSE(Plan!$K$5,'Calc Smart'!J213,'Calc Avalanche'!J213,'Calc Snowball'!J213,'Calc Cashflow'!J213)</f>
        <v/>
      </c>
      <c r="N207" s="67">
        <f>CHOOSE(Plan!$K$5,'Calc Smart'!K213,'Calc Avalanche'!K213,'Calc Snowball'!K213,'Calc Cashflow'!K213)</f>
        <v/>
      </c>
      <c r="O207" s="67">
        <f>CHOOSE(Plan!$K$5,'Calc Smart'!L213,'Calc Avalanche'!L213,'Calc Snowball'!L213,'Calc Cashflow'!L213)</f>
        <v/>
      </c>
      <c r="P207" s="67">
        <f>CHOOSE(Plan!$K$5,'Calc Smart'!M213,'Calc Avalanche'!M213,'Calc Snowball'!M213,'Calc Cashflow'!M213)</f>
        <v/>
      </c>
      <c r="Q207" s="67">
        <f>CHOOSE(Plan!$K$5,'Calc Smart'!N213,'Calc Avalanche'!N213,'Calc Snowball'!N213,'Calc Cashflow'!N213)</f>
        <v/>
      </c>
    </row>
    <row r="208">
      <c r="B208" s="64">
        <f>EDATE(Plan!$C$6,202)</f>
        <v/>
      </c>
      <c r="C208" s="31">
        <f>CHOOSE(Plan!$K$5,'Calc Smart'!AE214,'Calc Avalanche'!AE214,'Calc Snowball'!AE214,'Calc Cashflow'!AE214)</f>
        <v/>
      </c>
      <c r="D208" s="31">
        <f>CHOOSE(Plan!$K$5,'Calc Smart'!AD214,'Calc Avalanche'!AD214,'Calc Snowball'!AD214,'Calc Cashflow'!AD214)</f>
        <v/>
      </c>
      <c r="E208" s="40">
        <f>CHOOSE(Plan!$K$5,COUNTIF('Calc Smart'!C214:N214,"&gt;0"),COUNTIF('Calc Avalanche'!C214:N214,"&gt;0"),COUNTIF('Calc Snowball'!C214:N214,"&gt;0"),COUNTIF('Calc Cashflow'!C214:N214,"&gt;0"))</f>
        <v/>
      </c>
      <c r="F208" s="65">
        <f>CHOOSE(Plan!$K$5,'Calc Smart'!C214,'Calc Avalanche'!C214,'Calc Snowball'!C214,'Calc Cashflow'!C214)</f>
        <v/>
      </c>
      <c r="G208" s="65">
        <f>CHOOSE(Plan!$K$5,'Calc Smart'!D214,'Calc Avalanche'!D214,'Calc Snowball'!D214,'Calc Cashflow'!D214)</f>
        <v/>
      </c>
      <c r="H208" s="65">
        <f>CHOOSE(Plan!$K$5,'Calc Smart'!E214,'Calc Avalanche'!E214,'Calc Snowball'!E214,'Calc Cashflow'!E214)</f>
        <v/>
      </c>
      <c r="I208" s="65">
        <f>CHOOSE(Plan!$K$5,'Calc Smart'!F214,'Calc Avalanche'!F214,'Calc Snowball'!F214,'Calc Cashflow'!F214)</f>
        <v/>
      </c>
      <c r="J208" s="65">
        <f>CHOOSE(Plan!$K$5,'Calc Smart'!G214,'Calc Avalanche'!G214,'Calc Snowball'!G214,'Calc Cashflow'!G214)</f>
        <v/>
      </c>
      <c r="K208" s="65">
        <f>CHOOSE(Plan!$K$5,'Calc Smart'!H214,'Calc Avalanche'!H214,'Calc Snowball'!H214,'Calc Cashflow'!H214)</f>
        <v/>
      </c>
      <c r="L208" s="65">
        <f>CHOOSE(Plan!$K$5,'Calc Smart'!I214,'Calc Avalanche'!I214,'Calc Snowball'!I214,'Calc Cashflow'!I214)</f>
        <v/>
      </c>
      <c r="M208" s="65">
        <f>CHOOSE(Plan!$K$5,'Calc Smart'!J214,'Calc Avalanche'!J214,'Calc Snowball'!J214,'Calc Cashflow'!J214)</f>
        <v/>
      </c>
      <c r="N208" s="65">
        <f>CHOOSE(Plan!$K$5,'Calc Smart'!K214,'Calc Avalanche'!K214,'Calc Snowball'!K214,'Calc Cashflow'!K214)</f>
        <v/>
      </c>
      <c r="O208" s="65">
        <f>CHOOSE(Plan!$K$5,'Calc Smart'!L214,'Calc Avalanche'!L214,'Calc Snowball'!L214,'Calc Cashflow'!L214)</f>
        <v/>
      </c>
      <c r="P208" s="65">
        <f>CHOOSE(Plan!$K$5,'Calc Smart'!M214,'Calc Avalanche'!M214,'Calc Snowball'!M214,'Calc Cashflow'!M214)</f>
        <v/>
      </c>
      <c r="Q208" s="65">
        <f>CHOOSE(Plan!$K$5,'Calc Smart'!N214,'Calc Avalanche'!N214,'Calc Snowball'!N214,'Calc Cashflow'!N214)</f>
        <v/>
      </c>
    </row>
    <row r="209">
      <c r="B209" s="66">
        <f>EDATE(Plan!$C$6,203)</f>
        <v/>
      </c>
      <c r="C209" s="32">
        <f>CHOOSE(Plan!$K$5,'Calc Smart'!AE215,'Calc Avalanche'!AE215,'Calc Snowball'!AE215,'Calc Cashflow'!AE215)</f>
        <v/>
      </c>
      <c r="D209" s="32">
        <f>CHOOSE(Plan!$K$5,'Calc Smart'!AD215,'Calc Avalanche'!AD215,'Calc Snowball'!AD215,'Calc Cashflow'!AD215)</f>
        <v/>
      </c>
      <c r="E209" s="43">
        <f>CHOOSE(Plan!$K$5,COUNTIF('Calc Smart'!C215:N215,"&gt;0"),COUNTIF('Calc Avalanche'!C215:N215,"&gt;0"),COUNTIF('Calc Snowball'!C215:N215,"&gt;0"),COUNTIF('Calc Cashflow'!C215:N215,"&gt;0"))</f>
        <v/>
      </c>
      <c r="F209" s="67">
        <f>CHOOSE(Plan!$K$5,'Calc Smart'!C215,'Calc Avalanche'!C215,'Calc Snowball'!C215,'Calc Cashflow'!C215)</f>
        <v/>
      </c>
      <c r="G209" s="67">
        <f>CHOOSE(Plan!$K$5,'Calc Smart'!D215,'Calc Avalanche'!D215,'Calc Snowball'!D215,'Calc Cashflow'!D215)</f>
        <v/>
      </c>
      <c r="H209" s="67">
        <f>CHOOSE(Plan!$K$5,'Calc Smart'!E215,'Calc Avalanche'!E215,'Calc Snowball'!E215,'Calc Cashflow'!E215)</f>
        <v/>
      </c>
      <c r="I209" s="67">
        <f>CHOOSE(Plan!$K$5,'Calc Smart'!F215,'Calc Avalanche'!F215,'Calc Snowball'!F215,'Calc Cashflow'!F215)</f>
        <v/>
      </c>
      <c r="J209" s="67">
        <f>CHOOSE(Plan!$K$5,'Calc Smart'!G215,'Calc Avalanche'!G215,'Calc Snowball'!G215,'Calc Cashflow'!G215)</f>
        <v/>
      </c>
      <c r="K209" s="67">
        <f>CHOOSE(Plan!$K$5,'Calc Smart'!H215,'Calc Avalanche'!H215,'Calc Snowball'!H215,'Calc Cashflow'!H215)</f>
        <v/>
      </c>
      <c r="L209" s="67">
        <f>CHOOSE(Plan!$K$5,'Calc Smart'!I215,'Calc Avalanche'!I215,'Calc Snowball'!I215,'Calc Cashflow'!I215)</f>
        <v/>
      </c>
      <c r="M209" s="67">
        <f>CHOOSE(Plan!$K$5,'Calc Smart'!J215,'Calc Avalanche'!J215,'Calc Snowball'!J215,'Calc Cashflow'!J215)</f>
        <v/>
      </c>
      <c r="N209" s="67">
        <f>CHOOSE(Plan!$K$5,'Calc Smart'!K215,'Calc Avalanche'!K215,'Calc Snowball'!K215,'Calc Cashflow'!K215)</f>
        <v/>
      </c>
      <c r="O209" s="67">
        <f>CHOOSE(Plan!$K$5,'Calc Smart'!L215,'Calc Avalanche'!L215,'Calc Snowball'!L215,'Calc Cashflow'!L215)</f>
        <v/>
      </c>
      <c r="P209" s="67">
        <f>CHOOSE(Plan!$K$5,'Calc Smart'!M215,'Calc Avalanche'!M215,'Calc Snowball'!M215,'Calc Cashflow'!M215)</f>
        <v/>
      </c>
      <c r="Q209" s="67">
        <f>CHOOSE(Plan!$K$5,'Calc Smart'!N215,'Calc Avalanche'!N215,'Calc Snowball'!N215,'Calc Cashflow'!N215)</f>
        <v/>
      </c>
    </row>
    <row r="210">
      <c r="B210" s="64">
        <f>EDATE(Plan!$C$6,204)</f>
        <v/>
      </c>
      <c r="C210" s="31">
        <f>CHOOSE(Plan!$K$5,'Calc Smart'!AE216,'Calc Avalanche'!AE216,'Calc Snowball'!AE216,'Calc Cashflow'!AE216)</f>
        <v/>
      </c>
      <c r="D210" s="31">
        <f>CHOOSE(Plan!$K$5,'Calc Smart'!AD216,'Calc Avalanche'!AD216,'Calc Snowball'!AD216,'Calc Cashflow'!AD216)</f>
        <v/>
      </c>
      <c r="E210" s="40">
        <f>CHOOSE(Plan!$K$5,COUNTIF('Calc Smart'!C216:N216,"&gt;0"),COUNTIF('Calc Avalanche'!C216:N216,"&gt;0"),COUNTIF('Calc Snowball'!C216:N216,"&gt;0"),COUNTIF('Calc Cashflow'!C216:N216,"&gt;0"))</f>
        <v/>
      </c>
      <c r="F210" s="65">
        <f>CHOOSE(Plan!$K$5,'Calc Smart'!C216,'Calc Avalanche'!C216,'Calc Snowball'!C216,'Calc Cashflow'!C216)</f>
        <v/>
      </c>
      <c r="G210" s="65">
        <f>CHOOSE(Plan!$K$5,'Calc Smart'!D216,'Calc Avalanche'!D216,'Calc Snowball'!D216,'Calc Cashflow'!D216)</f>
        <v/>
      </c>
      <c r="H210" s="65">
        <f>CHOOSE(Plan!$K$5,'Calc Smart'!E216,'Calc Avalanche'!E216,'Calc Snowball'!E216,'Calc Cashflow'!E216)</f>
        <v/>
      </c>
      <c r="I210" s="65">
        <f>CHOOSE(Plan!$K$5,'Calc Smart'!F216,'Calc Avalanche'!F216,'Calc Snowball'!F216,'Calc Cashflow'!F216)</f>
        <v/>
      </c>
      <c r="J210" s="65">
        <f>CHOOSE(Plan!$K$5,'Calc Smart'!G216,'Calc Avalanche'!G216,'Calc Snowball'!G216,'Calc Cashflow'!G216)</f>
        <v/>
      </c>
      <c r="K210" s="65">
        <f>CHOOSE(Plan!$K$5,'Calc Smart'!H216,'Calc Avalanche'!H216,'Calc Snowball'!H216,'Calc Cashflow'!H216)</f>
        <v/>
      </c>
      <c r="L210" s="65">
        <f>CHOOSE(Plan!$K$5,'Calc Smart'!I216,'Calc Avalanche'!I216,'Calc Snowball'!I216,'Calc Cashflow'!I216)</f>
        <v/>
      </c>
      <c r="M210" s="65">
        <f>CHOOSE(Plan!$K$5,'Calc Smart'!J216,'Calc Avalanche'!J216,'Calc Snowball'!J216,'Calc Cashflow'!J216)</f>
        <v/>
      </c>
      <c r="N210" s="65">
        <f>CHOOSE(Plan!$K$5,'Calc Smart'!K216,'Calc Avalanche'!K216,'Calc Snowball'!K216,'Calc Cashflow'!K216)</f>
        <v/>
      </c>
      <c r="O210" s="65">
        <f>CHOOSE(Plan!$K$5,'Calc Smart'!L216,'Calc Avalanche'!L216,'Calc Snowball'!L216,'Calc Cashflow'!L216)</f>
        <v/>
      </c>
      <c r="P210" s="65">
        <f>CHOOSE(Plan!$K$5,'Calc Smart'!M216,'Calc Avalanche'!M216,'Calc Snowball'!M216,'Calc Cashflow'!M216)</f>
        <v/>
      </c>
      <c r="Q210" s="65">
        <f>CHOOSE(Plan!$K$5,'Calc Smart'!N216,'Calc Avalanche'!N216,'Calc Snowball'!N216,'Calc Cashflow'!N216)</f>
        <v/>
      </c>
    </row>
    <row r="211">
      <c r="B211" s="66">
        <f>EDATE(Plan!$C$6,205)</f>
        <v/>
      </c>
      <c r="C211" s="32">
        <f>CHOOSE(Plan!$K$5,'Calc Smart'!AE217,'Calc Avalanche'!AE217,'Calc Snowball'!AE217,'Calc Cashflow'!AE217)</f>
        <v/>
      </c>
      <c r="D211" s="32">
        <f>CHOOSE(Plan!$K$5,'Calc Smart'!AD217,'Calc Avalanche'!AD217,'Calc Snowball'!AD217,'Calc Cashflow'!AD217)</f>
        <v/>
      </c>
      <c r="E211" s="43">
        <f>CHOOSE(Plan!$K$5,COUNTIF('Calc Smart'!C217:N217,"&gt;0"),COUNTIF('Calc Avalanche'!C217:N217,"&gt;0"),COUNTIF('Calc Snowball'!C217:N217,"&gt;0"),COUNTIF('Calc Cashflow'!C217:N217,"&gt;0"))</f>
        <v/>
      </c>
      <c r="F211" s="67">
        <f>CHOOSE(Plan!$K$5,'Calc Smart'!C217,'Calc Avalanche'!C217,'Calc Snowball'!C217,'Calc Cashflow'!C217)</f>
        <v/>
      </c>
      <c r="G211" s="67">
        <f>CHOOSE(Plan!$K$5,'Calc Smart'!D217,'Calc Avalanche'!D217,'Calc Snowball'!D217,'Calc Cashflow'!D217)</f>
        <v/>
      </c>
      <c r="H211" s="67">
        <f>CHOOSE(Plan!$K$5,'Calc Smart'!E217,'Calc Avalanche'!E217,'Calc Snowball'!E217,'Calc Cashflow'!E217)</f>
        <v/>
      </c>
      <c r="I211" s="67">
        <f>CHOOSE(Plan!$K$5,'Calc Smart'!F217,'Calc Avalanche'!F217,'Calc Snowball'!F217,'Calc Cashflow'!F217)</f>
        <v/>
      </c>
      <c r="J211" s="67">
        <f>CHOOSE(Plan!$K$5,'Calc Smart'!G217,'Calc Avalanche'!G217,'Calc Snowball'!G217,'Calc Cashflow'!G217)</f>
        <v/>
      </c>
      <c r="K211" s="67">
        <f>CHOOSE(Plan!$K$5,'Calc Smart'!H217,'Calc Avalanche'!H217,'Calc Snowball'!H217,'Calc Cashflow'!H217)</f>
        <v/>
      </c>
      <c r="L211" s="67">
        <f>CHOOSE(Plan!$K$5,'Calc Smart'!I217,'Calc Avalanche'!I217,'Calc Snowball'!I217,'Calc Cashflow'!I217)</f>
        <v/>
      </c>
      <c r="M211" s="67">
        <f>CHOOSE(Plan!$K$5,'Calc Smart'!J217,'Calc Avalanche'!J217,'Calc Snowball'!J217,'Calc Cashflow'!J217)</f>
        <v/>
      </c>
      <c r="N211" s="67">
        <f>CHOOSE(Plan!$K$5,'Calc Smart'!K217,'Calc Avalanche'!K217,'Calc Snowball'!K217,'Calc Cashflow'!K217)</f>
        <v/>
      </c>
      <c r="O211" s="67">
        <f>CHOOSE(Plan!$K$5,'Calc Smart'!L217,'Calc Avalanche'!L217,'Calc Snowball'!L217,'Calc Cashflow'!L217)</f>
        <v/>
      </c>
      <c r="P211" s="67">
        <f>CHOOSE(Plan!$K$5,'Calc Smart'!M217,'Calc Avalanche'!M217,'Calc Snowball'!M217,'Calc Cashflow'!M217)</f>
        <v/>
      </c>
      <c r="Q211" s="67">
        <f>CHOOSE(Plan!$K$5,'Calc Smart'!N217,'Calc Avalanche'!N217,'Calc Snowball'!N217,'Calc Cashflow'!N217)</f>
        <v/>
      </c>
    </row>
    <row r="212">
      <c r="B212" s="64">
        <f>EDATE(Plan!$C$6,206)</f>
        <v/>
      </c>
      <c r="C212" s="31">
        <f>CHOOSE(Plan!$K$5,'Calc Smart'!AE218,'Calc Avalanche'!AE218,'Calc Snowball'!AE218,'Calc Cashflow'!AE218)</f>
        <v/>
      </c>
      <c r="D212" s="31">
        <f>CHOOSE(Plan!$K$5,'Calc Smart'!AD218,'Calc Avalanche'!AD218,'Calc Snowball'!AD218,'Calc Cashflow'!AD218)</f>
        <v/>
      </c>
      <c r="E212" s="40">
        <f>CHOOSE(Plan!$K$5,COUNTIF('Calc Smart'!C218:N218,"&gt;0"),COUNTIF('Calc Avalanche'!C218:N218,"&gt;0"),COUNTIF('Calc Snowball'!C218:N218,"&gt;0"),COUNTIF('Calc Cashflow'!C218:N218,"&gt;0"))</f>
        <v/>
      </c>
      <c r="F212" s="65">
        <f>CHOOSE(Plan!$K$5,'Calc Smart'!C218,'Calc Avalanche'!C218,'Calc Snowball'!C218,'Calc Cashflow'!C218)</f>
        <v/>
      </c>
      <c r="G212" s="65">
        <f>CHOOSE(Plan!$K$5,'Calc Smart'!D218,'Calc Avalanche'!D218,'Calc Snowball'!D218,'Calc Cashflow'!D218)</f>
        <v/>
      </c>
      <c r="H212" s="65">
        <f>CHOOSE(Plan!$K$5,'Calc Smart'!E218,'Calc Avalanche'!E218,'Calc Snowball'!E218,'Calc Cashflow'!E218)</f>
        <v/>
      </c>
      <c r="I212" s="65">
        <f>CHOOSE(Plan!$K$5,'Calc Smart'!F218,'Calc Avalanche'!F218,'Calc Snowball'!F218,'Calc Cashflow'!F218)</f>
        <v/>
      </c>
      <c r="J212" s="65">
        <f>CHOOSE(Plan!$K$5,'Calc Smart'!G218,'Calc Avalanche'!G218,'Calc Snowball'!G218,'Calc Cashflow'!G218)</f>
        <v/>
      </c>
      <c r="K212" s="65">
        <f>CHOOSE(Plan!$K$5,'Calc Smart'!H218,'Calc Avalanche'!H218,'Calc Snowball'!H218,'Calc Cashflow'!H218)</f>
        <v/>
      </c>
      <c r="L212" s="65">
        <f>CHOOSE(Plan!$K$5,'Calc Smart'!I218,'Calc Avalanche'!I218,'Calc Snowball'!I218,'Calc Cashflow'!I218)</f>
        <v/>
      </c>
      <c r="M212" s="65">
        <f>CHOOSE(Plan!$K$5,'Calc Smart'!J218,'Calc Avalanche'!J218,'Calc Snowball'!J218,'Calc Cashflow'!J218)</f>
        <v/>
      </c>
      <c r="N212" s="65">
        <f>CHOOSE(Plan!$K$5,'Calc Smart'!K218,'Calc Avalanche'!K218,'Calc Snowball'!K218,'Calc Cashflow'!K218)</f>
        <v/>
      </c>
      <c r="O212" s="65">
        <f>CHOOSE(Plan!$K$5,'Calc Smart'!L218,'Calc Avalanche'!L218,'Calc Snowball'!L218,'Calc Cashflow'!L218)</f>
        <v/>
      </c>
      <c r="P212" s="65">
        <f>CHOOSE(Plan!$K$5,'Calc Smart'!M218,'Calc Avalanche'!M218,'Calc Snowball'!M218,'Calc Cashflow'!M218)</f>
        <v/>
      </c>
      <c r="Q212" s="65">
        <f>CHOOSE(Plan!$K$5,'Calc Smart'!N218,'Calc Avalanche'!N218,'Calc Snowball'!N218,'Calc Cashflow'!N218)</f>
        <v/>
      </c>
    </row>
    <row r="213">
      <c r="B213" s="66">
        <f>EDATE(Plan!$C$6,207)</f>
        <v/>
      </c>
      <c r="C213" s="32">
        <f>CHOOSE(Plan!$K$5,'Calc Smart'!AE219,'Calc Avalanche'!AE219,'Calc Snowball'!AE219,'Calc Cashflow'!AE219)</f>
        <v/>
      </c>
      <c r="D213" s="32">
        <f>CHOOSE(Plan!$K$5,'Calc Smart'!AD219,'Calc Avalanche'!AD219,'Calc Snowball'!AD219,'Calc Cashflow'!AD219)</f>
        <v/>
      </c>
      <c r="E213" s="43">
        <f>CHOOSE(Plan!$K$5,COUNTIF('Calc Smart'!C219:N219,"&gt;0"),COUNTIF('Calc Avalanche'!C219:N219,"&gt;0"),COUNTIF('Calc Snowball'!C219:N219,"&gt;0"),COUNTIF('Calc Cashflow'!C219:N219,"&gt;0"))</f>
        <v/>
      </c>
      <c r="F213" s="67">
        <f>CHOOSE(Plan!$K$5,'Calc Smart'!C219,'Calc Avalanche'!C219,'Calc Snowball'!C219,'Calc Cashflow'!C219)</f>
        <v/>
      </c>
      <c r="G213" s="67">
        <f>CHOOSE(Plan!$K$5,'Calc Smart'!D219,'Calc Avalanche'!D219,'Calc Snowball'!D219,'Calc Cashflow'!D219)</f>
        <v/>
      </c>
      <c r="H213" s="67">
        <f>CHOOSE(Plan!$K$5,'Calc Smart'!E219,'Calc Avalanche'!E219,'Calc Snowball'!E219,'Calc Cashflow'!E219)</f>
        <v/>
      </c>
      <c r="I213" s="67">
        <f>CHOOSE(Plan!$K$5,'Calc Smart'!F219,'Calc Avalanche'!F219,'Calc Snowball'!F219,'Calc Cashflow'!F219)</f>
        <v/>
      </c>
      <c r="J213" s="67">
        <f>CHOOSE(Plan!$K$5,'Calc Smart'!G219,'Calc Avalanche'!G219,'Calc Snowball'!G219,'Calc Cashflow'!G219)</f>
        <v/>
      </c>
      <c r="K213" s="67">
        <f>CHOOSE(Plan!$K$5,'Calc Smart'!H219,'Calc Avalanche'!H219,'Calc Snowball'!H219,'Calc Cashflow'!H219)</f>
        <v/>
      </c>
      <c r="L213" s="67">
        <f>CHOOSE(Plan!$K$5,'Calc Smart'!I219,'Calc Avalanche'!I219,'Calc Snowball'!I219,'Calc Cashflow'!I219)</f>
        <v/>
      </c>
      <c r="M213" s="67">
        <f>CHOOSE(Plan!$K$5,'Calc Smart'!J219,'Calc Avalanche'!J219,'Calc Snowball'!J219,'Calc Cashflow'!J219)</f>
        <v/>
      </c>
      <c r="N213" s="67">
        <f>CHOOSE(Plan!$K$5,'Calc Smart'!K219,'Calc Avalanche'!K219,'Calc Snowball'!K219,'Calc Cashflow'!K219)</f>
        <v/>
      </c>
      <c r="O213" s="67">
        <f>CHOOSE(Plan!$K$5,'Calc Smart'!L219,'Calc Avalanche'!L219,'Calc Snowball'!L219,'Calc Cashflow'!L219)</f>
        <v/>
      </c>
      <c r="P213" s="67">
        <f>CHOOSE(Plan!$K$5,'Calc Smart'!M219,'Calc Avalanche'!M219,'Calc Snowball'!M219,'Calc Cashflow'!M219)</f>
        <v/>
      </c>
      <c r="Q213" s="67">
        <f>CHOOSE(Plan!$K$5,'Calc Smart'!N219,'Calc Avalanche'!N219,'Calc Snowball'!N219,'Calc Cashflow'!N219)</f>
        <v/>
      </c>
    </row>
    <row r="214">
      <c r="B214" s="64">
        <f>EDATE(Plan!$C$6,208)</f>
        <v/>
      </c>
      <c r="C214" s="31">
        <f>CHOOSE(Plan!$K$5,'Calc Smart'!AE220,'Calc Avalanche'!AE220,'Calc Snowball'!AE220,'Calc Cashflow'!AE220)</f>
        <v/>
      </c>
      <c r="D214" s="31">
        <f>CHOOSE(Plan!$K$5,'Calc Smart'!AD220,'Calc Avalanche'!AD220,'Calc Snowball'!AD220,'Calc Cashflow'!AD220)</f>
        <v/>
      </c>
      <c r="E214" s="40">
        <f>CHOOSE(Plan!$K$5,COUNTIF('Calc Smart'!C220:N220,"&gt;0"),COUNTIF('Calc Avalanche'!C220:N220,"&gt;0"),COUNTIF('Calc Snowball'!C220:N220,"&gt;0"),COUNTIF('Calc Cashflow'!C220:N220,"&gt;0"))</f>
        <v/>
      </c>
      <c r="F214" s="65">
        <f>CHOOSE(Plan!$K$5,'Calc Smart'!C220,'Calc Avalanche'!C220,'Calc Snowball'!C220,'Calc Cashflow'!C220)</f>
        <v/>
      </c>
      <c r="G214" s="65">
        <f>CHOOSE(Plan!$K$5,'Calc Smart'!D220,'Calc Avalanche'!D220,'Calc Snowball'!D220,'Calc Cashflow'!D220)</f>
        <v/>
      </c>
      <c r="H214" s="65">
        <f>CHOOSE(Plan!$K$5,'Calc Smart'!E220,'Calc Avalanche'!E220,'Calc Snowball'!E220,'Calc Cashflow'!E220)</f>
        <v/>
      </c>
      <c r="I214" s="65">
        <f>CHOOSE(Plan!$K$5,'Calc Smart'!F220,'Calc Avalanche'!F220,'Calc Snowball'!F220,'Calc Cashflow'!F220)</f>
        <v/>
      </c>
      <c r="J214" s="65">
        <f>CHOOSE(Plan!$K$5,'Calc Smart'!G220,'Calc Avalanche'!G220,'Calc Snowball'!G220,'Calc Cashflow'!G220)</f>
        <v/>
      </c>
      <c r="K214" s="65">
        <f>CHOOSE(Plan!$K$5,'Calc Smart'!H220,'Calc Avalanche'!H220,'Calc Snowball'!H220,'Calc Cashflow'!H220)</f>
        <v/>
      </c>
      <c r="L214" s="65">
        <f>CHOOSE(Plan!$K$5,'Calc Smart'!I220,'Calc Avalanche'!I220,'Calc Snowball'!I220,'Calc Cashflow'!I220)</f>
        <v/>
      </c>
      <c r="M214" s="65">
        <f>CHOOSE(Plan!$K$5,'Calc Smart'!J220,'Calc Avalanche'!J220,'Calc Snowball'!J220,'Calc Cashflow'!J220)</f>
        <v/>
      </c>
      <c r="N214" s="65">
        <f>CHOOSE(Plan!$K$5,'Calc Smart'!K220,'Calc Avalanche'!K220,'Calc Snowball'!K220,'Calc Cashflow'!K220)</f>
        <v/>
      </c>
      <c r="O214" s="65">
        <f>CHOOSE(Plan!$K$5,'Calc Smart'!L220,'Calc Avalanche'!L220,'Calc Snowball'!L220,'Calc Cashflow'!L220)</f>
        <v/>
      </c>
      <c r="P214" s="65">
        <f>CHOOSE(Plan!$K$5,'Calc Smart'!M220,'Calc Avalanche'!M220,'Calc Snowball'!M220,'Calc Cashflow'!M220)</f>
        <v/>
      </c>
      <c r="Q214" s="65">
        <f>CHOOSE(Plan!$K$5,'Calc Smart'!N220,'Calc Avalanche'!N220,'Calc Snowball'!N220,'Calc Cashflow'!N220)</f>
        <v/>
      </c>
    </row>
    <row r="215">
      <c r="B215" s="66">
        <f>EDATE(Plan!$C$6,209)</f>
        <v/>
      </c>
      <c r="C215" s="32">
        <f>CHOOSE(Plan!$K$5,'Calc Smart'!AE221,'Calc Avalanche'!AE221,'Calc Snowball'!AE221,'Calc Cashflow'!AE221)</f>
        <v/>
      </c>
      <c r="D215" s="32">
        <f>CHOOSE(Plan!$K$5,'Calc Smart'!AD221,'Calc Avalanche'!AD221,'Calc Snowball'!AD221,'Calc Cashflow'!AD221)</f>
        <v/>
      </c>
      <c r="E215" s="43">
        <f>CHOOSE(Plan!$K$5,COUNTIF('Calc Smart'!C221:N221,"&gt;0"),COUNTIF('Calc Avalanche'!C221:N221,"&gt;0"),COUNTIF('Calc Snowball'!C221:N221,"&gt;0"),COUNTIF('Calc Cashflow'!C221:N221,"&gt;0"))</f>
        <v/>
      </c>
      <c r="F215" s="67">
        <f>CHOOSE(Plan!$K$5,'Calc Smart'!C221,'Calc Avalanche'!C221,'Calc Snowball'!C221,'Calc Cashflow'!C221)</f>
        <v/>
      </c>
      <c r="G215" s="67">
        <f>CHOOSE(Plan!$K$5,'Calc Smart'!D221,'Calc Avalanche'!D221,'Calc Snowball'!D221,'Calc Cashflow'!D221)</f>
        <v/>
      </c>
      <c r="H215" s="67">
        <f>CHOOSE(Plan!$K$5,'Calc Smart'!E221,'Calc Avalanche'!E221,'Calc Snowball'!E221,'Calc Cashflow'!E221)</f>
        <v/>
      </c>
      <c r="I215" s="67">
        <f>CHOOSE(Plan!$K$5,'Calc Smart'!F221,'Calc Avalanche'!F221,'Calc Snowball'!F221,'Calc Cashflow'!F221)</f>
        <v/>
      </c>
      <c r="J215" s="67">
        <f>CHOOSE(Plan!$K$5,'Calc Smart'!G221,'Calc Avalanche'!G221,'Calc Snowball'!G221,'Calc Cashflow'!G221)</f>
        <v/>
      </c>
      <c r="K215" s="67">
        <f>CHOOSE(Plan!$K$5,'Calc Smart'!H221,'Calc Avalanche'!H221,'Calc Snowball'!H221,'Calc Cashflow'!H221)</f>
        <v/>
      </c>
      <c r="L215" s="67">
        <f>CHOOSE(Plan!$K$5,'Calc Smart'!I221,'Calc Avalanche'!I221,'Calc Snowball'!I221,'Calc Cashflow'!I221)</f>
        <v/>
      </c>
      <c r="M215" s="67">
        <f>CHOOSE(Plan!$K$5,'Calc Smart'!J221,'Calc Avalanche'!J221,'Calc Snowball'!J221,'Calc Cashflow'!J221)</f>
        <v/>
      </c>
      <c r="N215" s="67">
        <f>CHOOSE(Plan!$K$5,'Calc Smart'!K221,'Calc Avalanche'!K221,'Calc Snowball'!K221,'Calc Cashflow'!K221)</f>
        <v/>
      </c>
      <c r="O215" s="67">
        <f>CHOOSE(Plan!$K$5,'Calc Smart'!L221,'Calc Avalanche'!L221,'Calc Snowball'!L221,'Calc Cashflow'!L221)</f>
        <v/>
      </c>
      <c r="P215" s="67">
        <f>CHOOSE(Plan!$K$5,'Calc Smart'!M221,'Calc Avalanche'!M221,'Calc Snowball'!M221,'Calc Cashflow'!M221)</f>
        <v/>
      </c>
      <c r="Q215" s="67">
        <f>CHOOSE(Plan!$K$5,'Calc Smart'!N221,'Calc Avalanche'!N221,'Calc Snowball'!N221,'Calc Cashflow'!N221)</f>
        <v/>
      </c>
    </row>
    <row r="216">
      <c r="B216" s="64">
        <f>EDATE(Plan!$C$6,210)</f>
        <v/>
      </c>
      <c r="C216" s="31">
        <f>CHOOSE(Plan!$K$5,'Calc Smart'!AE222,'Calc Avalanche'!AE222,'Calc Snowball'!AE222,'Calc Cashflow'!AE222)</f>
        <v/>
      </c>
      <c r="D216" s="31">
        <f>CHOOSE(Plan!$K$5,'Calc Smart'!AD222,'Calc Avalanche'!AD222,'Calc Snowball'!AD222,'Calc Cashflow'!AD222)</f>
        <v/>
      </c>
      <c r="E216" s="40">
        <f>CHOOSE(Plan!$K$5,COUNTIF('Calc Smart'!C222:N222,"&gt;0"),COUNTIF('Calc Avalanche'!C222:N222,"&gt;0"),COUNTIF('Calc Snowball'!C222:N222,"&gt;0"),COUNTIF('Calc Cashflow'!C222:N222,"&gt;0"))</f>
        <v/>
      </c>
      <c r="F216" s="65">
        <f>CHOOSE(Plan!$K$5,'Calc Smart'!C222,'Calc Avalanche'!C222,'Calc Snowball'!C222,'Calc Cashflow'!C222)</f>
        <v/>
      </c>
      <c r="G216" s="65">
        <f>CHOOSE(Plan!$K$5,'Calc Smart'!D222,'Calc Avalanche'!D222,'Calc Snowball'!D222,'Calc Cashflow'!D222)</f>
        <v/>
      </c>
      <c r="H216" s="65">
        <f>CHOOSE(Plan!$K$5,'Calc Smart'!E222,'Calc Avalanche'!E222,'Calc Snowball'!E222,'Calc Cashflow'!E222)</f>
        <v/>
      </c>
      <c r="I216" s="65">
        <f>CHOOSE(Plan!$K$5,'Calc Smart'!F222,'Calc Avalanche'!F222,'Calc Snowball'!F222,'Calc Cashflow'!F222)</f>
        <v/>
      </c>
      <c r="J216" s="65">
        <f>CHOOSE(Plan!$K$5,'Calc Smart'!G222,'Calc Avalanche'!G222,'Calc Snowball'!G222,'Calc Cashflow'!G222)</f>
        <v/>
      </c>
      <c r="K216" s="65">
        <f>CHOOSE(Plan!$K$5,'Calc Smart'!H222,'Calc Avalanche'!H222,'Calc Snowball'!H222,'Calc Cashflow'!H222)</f>
        <v/>
      </c>
      <c r="L216" s="65">
        <f>CHOOSE(Plan!$K$5,'Calc Smart'!I222,'Calc Avalanche'!I222,'Calc Snowball'!I222,'Calc Cashflow'!I222)</f>
        <v/>
      </c>
      <c r="M216" s="65">
        <f>CHOOSE(Plan!$K$5,'Calc Smart'!J222,'Calc Avalanche'!J222,'Calc Snowball'!J222,'Calc Cashflow'!J222)</f>
        <v/>
      </c>
      <c r="N216" s="65">
        <f>CHOOSE(Plan!$K$5,'Calc Smart'!K222,'Calc Avalanche'!K222,'Calc Snowball'!K222,'Calc Cashflow'!K222)</f>
        <v/>
      </c>
      <c r="O216" s="65">
        <f>CHOOSE(Plan!$K$5,'Calc Smart'!L222,'Calc Avalanche'!L222,'Calc Snowball'!L222,'Calc Cashflow'!L222)</f>
        <v/>
      </c>
      <c r="P216" s="65">
        <f>CHOOSE(Plan!$K$5,'Calc Smart'!M222,'Calc Avalanche'!M222,'Calc Snowball'!M222,'Calc Cashflow'!M222)</f>
        <v/>
      </c>
      <c r="Q216" s="65">
        <f>CHOOSE(Plan!$K$5,'Calc Smart'!N222,'Calc Avalanche'!N222,'Calc Snowball'!N222,'Calc Cashflow'!N222)</f>
        <v/>
      </c>
    </row>
    <row r="217">
      <c r="B217" s="66">
        <f>EDATE(Plan!$C$6,211)</f>
        <v/>
      </c>
      <c r="C217" s="32">
        <f>CHOOSE(Plan!$K$5,'Calc Smart'!AE223,'Calc Avalanche'!AE223,'Calc Snowball'!AE223,'Calc Cashflow'!AE223)</f>
        <v/>
      </c>
      <c r="D217" s="32">
        <f>CHOOSE(Plan!$K$5,'Calc Smart'!AD223,'Calc Avalanche'!AD223,'Calc Snowball'!AD223,'Calc Cashflow'!AD223)</f>
        <v/>
      </c>
      <c r="E217" s="43">
        <f>CHOOSE(Plan!$K$5,COUNTIF('Calc Smart'!C223:N223,"&gt;0"),COUNTIF('Calc Avalanche'!C223:N223,"&gt;0"),COUNTIF('Calc Snowball'!C223:N223,"&gt;0"),COUNTIF('Calc Cashflow'!C223:N223,"&gt;0"))</f>
        <v/>
      </c>
      <c r="F217" s="67">
        <f>CHOOSE(Plan!$K$5,'Calc Smart'!C223,'Calc Avalanche'!C223,'Calc Snowball'!C223,'Calc Cashflow'!C223)</f>
        <v/>
      </c>
      <c r="G217" s="67">
        <f>CHOOSE(Plan!$K$5,'Calc Smart'!D223,'Calc Avalanche'!D223,'Calc Snowball'!D223,'Calc Cashflow'!D223)</f>
        <v/>
      </c>
      <c r="H217" s="67">
        <f>CHOOSE(Plan!$K$5,'Calc Smart'!E223,'Calc Avalanche'!E223,'Calc Snowball'!E223,'Calc Cashflow'!E223)</f>
        <v/>
      </c>
      <c r="I217" s="67">
        <f>CHOOSE(Plan!$K$5,'Calc Smart'!F223,'Calc Avalanche'!F223,'Calc Snowball'!F223,'Calc Cashflow'!F223)</f>
        <v/>
      </c>
      <c r="J217" s="67">
        <f>CHOOSE(Plan!$K$5,'Calc Smart'!G223,'Calc Avalanche'!G223,'Calc Snowball'!G223,'Calc Cashflow'!G223)</f>
        <v/>
      </c>
      <c r="K217" s="67">
        <f>CHOOSE(Plan!$K$5,'Calc Smart'!H223,'Calc Avalanche'!H223,'Calc Snowball'!H223,'Calc Cashflow'!H223)</f>
        <v/>
      </c>
      <c r="L217" s="67">
        <f>CHOOSE(Plan!$K$5,'Calc Smart'!I223,'Calc Avalanche'!I223,'Calc Snowball'!I223,'Calc Cashflow'!I223)</f>
        <v/>
      </c>
      <c r="M217" s="67">
        <f>CHOOSE(Plan!$K$5,'Calc Smart'!J223,'Calc Avalanche'!J223,'Calc Snowball'!J223,'Calc Cashflow'!J223)</f>
        <v/>
      </c>
      <c r="N217" s="67">
        <f>CHOOSE(Plan!$K$5,'Calc Smart'!K223,'Calc Avalanche'!K223,'Calc Snowball'!K223,'Calc Cashflow'!K223)</f>
        <v/>
      </c>
      <c r="O217" s="67">
        <f>CHOOSE(Plan!$K$5,'Calc Smart'!L223,'Calc Avalanche'!L223,'Calc Snowball'!L223,'Calc Cashflow'!L223)</f>
        <v/>
      </c>
      <c r="P217" s="67">
        <f>CHOOSE(Plan!$K$5,'Calc Smart'!M223,'Calc Avalanche'!M223,'Calc Snowball'!M223,'Calc Cashflow'!M223)</f>
        <v/>
      </c>
      <c r="Q217" s="67">
        <f>CHOOSE(Plan!$K$5,'Calc Smart'!N223,'Calc Avalanche'!N223,'Calc Snowball'!N223,'Calc Cashflow'!N223)</f>
        <v/>
      </c>
    </row>
    <row r="218">
      <c r="B218" s="64">
        <f>EDATE(Plan!$C$6,212)</f>
        <v/>
      </c>
      <c r="C218" s="31">
        <f>CHOOSE(Plan!$K$5,'Calc Smart'!AE224,'Calc Avalanche'!AE224,'Calc Snowball'!AE224,'Calc Cashflow'!AE224)</f>
        <v/>
      </c>
      <c r="D218" s="31">
        <f>CHOOSE(Plan!$K$5,'Calc Smart'!AD224,'Calc Avalanche'!AD224,'Calc Snowball'!AD224,'Calc Cashflow'!AD224)</f>
        <v/>
      </c>
      <c r="E218" s="40">
        <f>CHOOSE(Plan!$K$5,COUNTIF('Calc Smart'!C224:N224,"&gt;0"),COUNTIF('Calc Avalanche'!C224:N224,"&gt;0"),COUNTIF('Calc Snowball'!C224:N224,"&gt;0"),COUNTIF('Calc Cashflow'!C224:N224,"&gt;0"))</f>
        <v/>
      </c>
      <c r="F218" s="65">
        <f>CHOOSE(Plan!$K$5,'Calc Smart'!C224,'Calc Avalanche'!C224,'Calc Snowball'!C224,'Calc Cashflow'!C224)</f>
        <v/>
      </c>
      <c r="G218" s="65">
        <f>CHOOSE(Plan!$K$5,'Calc Smart'!D224,'Calc Avalanche'!D224,'Calc Snowball'!D224,'Calc Cashflow'!D224)</f>
        <v/>
      </c>
      <c r="H218" s="65">
        <f>CHOOSE(Plan!$K$5,'Calc Smart'!E224,'Calc Avalanche'!E224,'Calc Snowball'!E224,'Calc Cashflow'!E224)</f>
        <v/>
      </c>
      <c r="I218" s="65">
        <f>CHOOSE(Plan!$K$5,'Calc Smart'!F224,'Calc Avalanche'!F224,'Calc Snowball'!F224,'Calc Cashflow'!F224)</f>
        <v/>
      </c>
      <c r="J218" s="65">
        <f>CHOOSE(Plan!$K$5,'Calc Smart'!G224,'Calc Avalanche'!G224,'Calc Snowball'!G224,'Calc Cashflow'!G224)</f>
        <v/>
      </c>
      <c r="K218" s="65">
        <f>CHOOSE(Plan!$K$5,'Calc Smart'!H224,'Calc Avalanche'!H224,'Calc Snowball'!H224,'Calc Cashflow'!H224)</f>
        <v/>
      </c>
      <c r="L218" s="65">
        <f>CHOOSE(Plan!$K$5,'Calc Smart'!I224,'Calc Avalanche'!I224,'Calc Snowball'!I224,'Calc Cashflow'!I224)</f>
        <v/>
      </c>
      <c r="M218" s="65">
        <f>CHOOSE(Plan!$K$5,'Calc Smart'!J224,'Calc Avalanche'!J224,'Calc Snowball'!J224,'Calc Cashflow'!J224)</f>
        <v/>
      </c>
      <c r="N218" s="65">
        <f>CHOOSE(Plan!$K$5,'Calc Smart'!K224,'Calc Avalanche'!K224,'Calc Snowball'!K224,'Calc Cashflow'!K224)</f>
        <v/>
      </c>
      <c r="O218" s="65">
        <f>CHOOSE(Plan!$K$5,'Calc Smart'!L224,'Calc Avalanche'!L224,'Calc Snowball'!L224,'Calc Cashflow'!L224)</f>
        <v/>
      </c>
      <c r="P218" s="65">
        <f>CHOOSE(Plan!$K$5,'Calc Smart'!M224,'Calc Avalanche'!M224,'Calc Snowball'!M224,'Calc Cashflow'!M224)</f>
        <v/>
      </c>
      <c r="Q218" s="65">
        <f>CHOOSE(Plan!$K$5,'Calc Smart'!N224,'Calc Avalanche'!N224,'Calc Snowball'!N224,'Calc Cashflow'!N224)</f>
        <v/>
      </c>
    </row>
    <row r="219">
      <c r="B219" s="66">
        <f>EDATE(Plan!$C$6,213)</f>
        <v/>
      </c>
      <c r="C219" s="32">
        <f>CHOOSE(Plan!$K$5,'Calc Smart'!AE225,'Calc Avalanche'!AE225,'Calc Snowball'!AE225,'Calc Cashflow'!AE225)</f>
        <v/>
      </c>
      <c r="D219" s="32">
        <f>CHOOSE(Plan!$K$5,'Calc Smart'!AD225,'Calc Avalanche'!AD225,'Calc Snowball'!AD225,'Calc Cashflow'!AD225)</f>
        <v/>
      </c>
      <c r="E219" s="43">
        <f>CHOOSE(Plan!$K$5,COUNTIF('Calc Smart'!C225:N225,"&gt;0"),COUNTIF('Calc Avalanche'!C225:N225,"&gt;0"),COUNTIF('Calc Snowball'!C225:N225,"&gt;0"),COUNTIF('Calc Cashflow'!C225:N225,"&gt;0"))</f>
        <v/>
      </c>
      <c r="F219" s="67">
        <f>CHOOSE(Plan!$K$5,'Calc Smart'!C225,'Calc Avalanche'!C225,'Calc Snowball'!C225,'Calc Cashflow'!C225)</f>
        <v/>
      </c>
      <c r="G219" s="67">
        <f>CHOOSE(Plan!$K$5,'Calc Smart'!D225,'Calc Avalanche'!D225,'Calc Snowball'!D225,'Calc Cashflow'!D225)</f>
        <v/>
      </c>
      <c r="H219" s="67">
        <f>CHOOSE(Plan!$K$5,'Calc Smart'!E225,'Calc Avalanche'!E225,'Calc Snowball'!E225,'Calc Cashflow'!E225)</f>
        <v/>
      </c>
      <c r="I219" s="67">
        <f>CHOOSE(Plan!$K$5,'Calc Smart'!F225,'Calc Avalanche'!F225,'Calc Snowball'!F225,'Calc Cashflow'!F225)</f>
        <v/>
      </c>
      <c r="J219" s="67">
        <f>CHOOSE(Plan!$K$5,'Calc Smart'!G225,'Calc Avalanche'!G225,'Calc Snowball'!G225,'Calc Cashflow'!G225)</f>
        <v/>
      </c>
      <c r="K219" s="67">
        <f>CHOOSE(Plan!$K$5,'Calc Smart'!H225,'Calc Avalanche'!H225,'Calc Snowball'!H225,'Calc Cashflow'!H225)</f>
        <v/>
      </c>
      <c r="L219" s="67">
        <f>CHOOSE(Plan!$K$5,'Calc Smart'!I225,'Calc Avalanche'!I225,'Calc Snowball'!I225,'Calc Cashflow'!I225)</f>
        <v/>
      </c>
      <c r="M219" s="67">
        <f>CHOOSE(Plan!$K$5,'Calc Smart'!J225,'Calc Avalanche'!J225,'Calc Snowball'!J225,'Calc Cashflow'!J225)</f>
        <v/>
      </c>
      <c r="N219" s="67">
        <f>CHOOSE(Plan!$K$5,'Calc Smart'!K225,'Calc Avalanche'!K225,'Calc Snowball'!K225,'Calc Cashflow'!K225)</f>
        <v/>
      </c>
      <c r="O219" s="67">
        <f>CHOOSE(Plan!$K$5,'Calc Smart'!L225,'Calc Avalanche'!L225,'Calc Snowball'!L225,'Calc Cashflow'!L225)</f>
        <v/>
      </c>
      <c r="P219" s="67">
        <f>CHOOSE(Plan!$K$5,'Calc Smart'!M225,'Calc Avalanche'!M225,'Calc Snowball'!M225,'Calc Cashflow'!M225)</f>
        <v/>
      </c>
      <c r="Q219" s="67">
        <f>CHOOSE(Plan!$K$5,'Calc Smart'!N225,'Calc Avalanche'!N225,'Calc Snowball'!N225,'Calc Cashflow'!N225)</f>
        <v/>
      </c>
    </row>
    <row r="220">
      <c r="B220" s="64">
        <f>EDATE(Plan!$C$6,214)</f>
        <v/>
      </c>
      <c r="C220" s="31">
        <f>CHOOSE(Plan!$K$5,'Calc Smart'!AE226,'Calc Avalanche'!AE226,'Calc Snowball'!AE226,'Calc Cashflow'!AE226)</f>
        <v/>
      </c>
      <c r="D220" s="31">
        <f>CHOOSE(Plan!$K$5,'Calc Smart'!AD226,'Calc Avalanche'!AD226,'Calc Snowball'!AD226,'Calc Cashflow'!AD226)</f>
        <v/>
      </c>
      <c r="E220" s="40">
        <f>CHOOSE(Plan!$K$5,COUNTIF('Calc Smart'!C226:N226,"&gt;0"),COUNTIF('Calc Avalanche'!C226:N226,"&gt;0"),COUNTIF('Calc Snowball'!C226:N226,"&gt;0"),COUNTIF('Calc Cashflow'!C226:N226,"&gt;0"))</f>
        <v/>
      </c>
      <c r="F220" s="65">
        <f>CHOOSE(Plan!$K$5,'Calc Smart'!C226,'Calc Avalanche'!C226,'Calc Snowball'!C226,'Calc Cashflow'!C226)</f>
        <v/>
      </c>
      <c r="G220" s="65">
        <f>CHOOSE(Plan!$K$5,'Calc Smart'!D226,'Calc Avalanche'!D226,'Calc Snowball'!D226,'Calc Cashflow'!D226)</f>
        <v/>
      </c>
      <c r="H220" s="65">
        <f>CHOOSE(Plan!$K$5,'Calc Smart'!E226,'Calc Avalanche'!E226,'Calc Snowball'!E226,'Calc Cashflow'!E226)</f>
        <v/>
      </c>
      <c r="I220" s="65">
        <f>CHOOSE(Plan!$K$5,'Calc Smart'!F226,'Calc Avalanche'!F226,'Calc Snowball'!F226,'Calc Cashflow'!F226)</f>
        <v/>
      </c>
      <c r="J220" s="65">
        <f>CHOOSE(Plan!$K$5,'Calc Smart'!G226,'Calc Avalanche'!G226,'Calc Snowball'!G226,'Calc Cashflow'!G226)</f>
        <v/>
      </c>
      <c r="K220" s="65">
        <f>CHOOSE(Plan!$K$5,'Calc Smart'!H226,'Calc Avalanche'!H226,'Calc Snowball'!H226,'Calc Cashflow'!H226)</f>
        <v/>
      </c>
      <c r="L220" s="65">
        <f>CHOOSE(Plan!$K$5,'Calc Smart'!I226,'Calc Avalanche'!I226,'Calc Snowball'!I226,'Calc Cashflow'!I226)</f>
        <v/>
      </c>
      <c r="M220" s="65">
        <f>CHOOSE(Plan!$K$5,'Calc Smart'!J226,'Calc Avalanche'!J226,'Calc Snowball'!J226,'Calc Cashflow'!J226)</f>
        <v/>
      </c>
      <c r="N220" s="65">
        <f>CHOOSE(Plan!$K$5,'Calc Smart'!K226,'Calc Avalanche'!K226,'Calc Snowball'!K226,'Calc Cashflow'!K226)</f>
        <v/>
      </c>
      <c r="O220" s="65">
        <f>CHOOSE(Plan!$K$5,'Calc Smart'!L226,'Calc Avalanche'!L226,'Calc Snowball'!L226,'Calc Cashflow'!L226)</f>
        <v/>
      </c>
      <c r="P220" s="65">
        <f>CHOOSE(Plan!$K$5,'Calc Smart'!M226,'Calc Avalanche'!M226,'Calc Snowball'!M226,'Calc Cashflow'!M226)</f>
        <v/>
      </c>
      <c r="Q220" s="65">
        <f>CHOOSE(Plan!$K$5,'Calc Smart'!N226,'Calc Avalanche'!N226,'Calc Snowball'!N226,'Calc Cashflow'!N226)</f>
        <v/>
      </c>
    </row>
    <row r="221">
      <c r="B221" s="66">
        <f>EDATE(Plan!$C$6,215)</f>
        <v/>
      </c>
      <c r="C221" s="32">
        <f>CHOOSE(Plan!$K$5,'Calc Smart'!AE227,'Calc Avalanche'!AE227,'Calc Snowball'!AE227,'Calc Cashflow'!AE227)</f>
        <v/>
      </c>
      <c r="D221" s="32">
        <f>CHOOSE(Plan!$K$5,'Calc Smart'!AD227,'Calc Avalanche'!AD227,'Calc Snowball'!AD227,'Calc Cashflow'!AD227)</f>
        <v/>
      </c>
      <c r="E221" s="43">
        <f>CHOOSE(Plan!$K$5,COUNTIF('Calc Smart'!C227:N227,"&gt;0"),COUNTIF('Calc Avalanche'!C227:N227,"&gt;0"),COUNTIF('Calc Snowball'!C227:N227,"&gt;0"),COUNTIF('Calc Cashflow'!C227:N227,"&gt;0"))</f>
        <v/>
      </c>
      <c r="F221" s="67">
        <f>CHOOSE(Plan!$K$5,'Calc Smart'!C227,'Calc Avalanche'!C227,'Calc Snowball'!C227,'Calc Cashflow'!C227)</f>
        <v/>
      </c>
      <c r="G221" s="67">
        <f>CHOOSE(Plan!$K$5,'Calc Smart'!D227,'Calc Avalanche'!D227,'Calc Snowball'!D227,'Calc Cashflow'!D227)</f>
        <v/>
      </c>
      <c r="H221" s="67">
        <f>CHOOSE(Plan!$K$5,'Calc Smart'!E227,'Calc Avalanche'!E227,'Calc Snowball'!E227,'Calc Cashflow'!E227)</f>
        <v/>
      </c>
      <c r="I221" s="67">
        <f>CHOOSE(Plan!$K$5,'Calc Smart'!F227,'Calc Avalanche'!F227,'Calc Snowball'!F227,'Calc Cashflow'!F227)</f>
        <v/>
      </c>
      <c r="J221" s="67">
        <f>CHOOSE(Plan!$K$5,'Calc Smart'!G227,'Calc Avalanche'!G227,'Calc Snowball'!G227,'Calc Cashflow'!G227)</f>
        <v/>
      </c>
      <c r="K221" s="67">
        <f>CHOOSE(Plan!$K$5,'Calc Smart'!H227,'Calc Avalanche'!H227,'Calc Snowball'!H227,'Calc Cashflow'!H227)</f>
        <v/>
      </c>
      <c r="L221" s="67">
        <f>CHOOSE(Plan!$K$5,'Calc Smart'!I227,'Calc Avalanche'!I227,'Calc Snowball'!I227,'Calc Cashflow'!I227)</f>
        <v/>
      </c>
      <c r="M221" s="67">
        <f>CHOOSE(Plan!$K$5,'Calc Smart'!J227,'Calc Avalanche'!J227,'Calc Snowball'!J227,'Calc Cashflow'!J227)</f>
        <v/>
      </c>
      <c r="N221" s="67">
        <f>CHOOSE(Plan!$K$5,'Calc Smart'!K227,'Calc Avalanche'!K227,'Calc Snowball'!K227,'Calc Cashflow'!K227)</f>
        <v/>
      </c>
      <c r="O221" s="67">
        <f>CHOOSE(Plan!$K$5,'Calc Smart'!L227,'Calc Avalanche'!L227,'Calc Snowball'!L227,'Calc Cashflow'!L227)</f>
        <v/>
      </c>
      <c r="P221" s="67">
        <f>CHOOSE(Plan!$K$5,'Calc Smart'!M227,'Calc Avalanche'!M227,'Calc Snowball'!M227,'Calc Cashflow'!M227)</f>
        <v/>
      </c>
      <c r="Q221" s="67">
        <f>CHOOSE(Plan!$K$5,'Calc Smart'!N227,'Calc Avalanche'!N227,'Calc Snowball'!N227,'Calc Cashflow'!N227)</f>
        <v/>
      </c>
    </row>
    <row r="222">
      <c r="B222" s="64">
        <f>EDATE(Plan!$C$6,216)</f>
        <v/>
      </c>
      <c r="C222" s="31">
        <f>CHOOSE(Plan!$K$5,'Calc Smart'!AE228,'Calc Avalanche'!AE228,'Calc Snowball'!AE228,'Calc Cashflow'!AE228)</f>
        <v/>
      </c>
      <c r="D222" s="31">
        <f>CHOOSE(Plan!$K$5,'Calc Smart'!AD228,'Calc Avalanche'!AD228,'Calc Snowball'!AD228,'Calc Cashflow'!AD228)</f>
        <v/>
      </c>
      <c r="E222" s="40">
        <f>CHOOSE(Plan!$K$5,COUNTIF('Calc Smart'!C228:N228,"&gt;0"),COUNTIF('Calc Avalanche'!C228:N228,"&gt;0"),COUNTIF('Calc Snowball'!C228:N228,"&gt;0"),COUNTIF('Calc Cashflow'!C228:N228,"&gt;0"))</f>
        <v/>
      </c>
      <c r="F222" s="65">
        <f>CHOOSE(Plan!$K$5,'Calc Smart'!C228,'Calc Avalanche'!C228,'Calc Snowball'!C228,'Calc Cashflow'!C228)</f>
        <v/>
      </c>
      <c r="G222" s="65">
        <f>CHOOSE(Plan!$K$5,'Calc Smart'!D228,'Calc Avalanche'!D228,'Calc Snowball'!D228,'Calc Cashflow'!D228)</f>
        <v/>
      </c>
      <c r="H222" s="65">
        <f>CHOOSE(Plan!$K$5,'Calc Smart'!E228,'Calc Avalanche'!E228,'Calc Snowball'!E228,'Calc Cashflow'!E228)</f>
        <v/>
      </c>
      <c r="I222" s="65">
        <f>CHOOSE(Plan!$K$5,'Calc Smart'!F228,'Calc Avalanche'!F228,'Calc Snowball'!F228,'Calc Cashflow'!F228)</f>
        <v/>
      </c>
      <c r="J222" s="65">
        <f>CHOOSE(Plan!$K$5,'Calc Smart'!G228,'Calc Avalanche'!G228,'Calc Snowball'!G228,'Calc Cashflow'!G228)</f>
        <v/>
      </c>
      <c r="K222" s="65">
        <f>CHOOSE(Plan!$K$5,'Calc Smart'!H228,'Calc Avalanche'!H228,'Calc Snowball'!H228,'Calc Cashflow'!H228)</f>
        <v/>
      </c>
      <c r="L222" s="65">
        <f>CHOOSE(Plan!$K$5,'Calc Smart'!I228,'Calc Avalanche'!I228,'Calc Snowball'!I228,'Calc Cashflow'!I228)</f>
        <v/>
      </c>
      <c r="M222" s="65">
        <f>CHOOSE(Plan!$K$5,'Calc Smart'!J228,'Calc Avalanche'!J228,'Calc Snowball'!J228,'Calc Cashflow'!J228)</f>
        <v/>
      </c>
      <c r="N222" s="65">
        <f>CHOOSE(Plan!$K$5,'Calc Smart'!K228,'Calc Avalanche'!K228,'Calc Snowball'!K228,'Calc Cashflow'!K228)</f>
        <v/>
      </c>
      <c r="O222" s="65">
        <f>CHOOSE(Plan!$K$5,'Calc Smart'!L228,'Calc Avalanche'!L228,'Calc Snowball'!L228,'Calc Cashflow'!L228)</f>
        <v/>
      </c>
      <c r="P222" s="65">
        <f>CHOOSE(Plan!$K$5,'Calc Smart'!M228,'Calc Avalanche'!M228,'Calc Snowball'!M228,'Calc Cashflow'!M228)</f>
        <v/>
      </c>
      <c r="Q222" s="65">
        <f>CHOOSE(Plan!$K$5,'Calc Smart'!N228,'Calc Avalanche'!N228,'Calc Snowball'!N228,'Calc Cashflow'!N228)</f>
        <v/>
      </c>
    </row>
    <row r="223">
      <c r="B223" s="66">
        <f>EDATE(Plan!$C$6,217)</f>
        <v/>
      </c>
      <c r="C223" s="32">
        <f>CHOOSE(Plan!$K$5,'Calc Smart'!AE229,'Calc Avalanche'!AE229,'Calc Snowball'!AE229,'Calc Cashflow'!AE229)</f>
        <v/>
      </c>
      <c r="D223" s="32">
        <f>CHOOSE(Plan!$K$5,'Calc Smart'!AD229,'Calc Avalanche'!AD229,'Calc Snowball'!AD229,'Calc Cashflow'!AD229)</f>
        <v/>
      </c>
      <c r="E223" s="43">
        <f>CHOOSE(Plan!$K$5,COUNTIF('Calc Smart'!C229:N229,"&gt;0"),COUNTIF('Calc Avalanche'!C229:N229,"&gt;0"),COUNTIF('Calc Snowball'!C229:N229,"&gt;0"),COUNTIF('Calc Cashflow'!C229:N229,"&gt;0"))</f>
        <v/>
      </c>
      <c r="F223" s="67">
        <f>CHOOSE(Plan!$K$5,'Calc Smart'!C229,'Calc Avalanche'!C229,'Calc Snowball'!C229,'Calc Cashflow'!C229)</f>
        <v/>
      </c>
      <c r="G223" s="67">
        <f>CHOOSE(Plan!$K$5,'Calc Smart'!D229,'Calc Avalanche'!D229,'Calc Snowball'!D229,'Calc Cashflow'!D229)</f>
        <v/>
      </c>
      <c r="H223" s="67">
        <f>CHOOSE(Plan!$K$5,'Calc Smart'!E229,'Calc Avalanche'!E229,'Calc Snowball'!E229,'Calc Cashflow'!E229)</f>
        <v/>
      </c>
      <c r="I223" s="67">
        <f>CHOOSE(Plan!$K$5,'Calc Smart'!F229,'Calc Avalanche'!F229,'Calc Snowball'!F229,'Calc Cashflow'!F229)</f>
        <v/>
      </c>
      <c r="J223" s="67">
        <f>CHOOSE(Plan!$K$5,'Calc Smart'!G229,'Calc Avalanche'!G229,'Calc Snowball'!G229,'Calc Cashflow'!G229)</f>
        <v/>
      </c>
      <c r="K223" s="67">
        <f>CHOOSE(Plan!$K$5,'Calc Smart'!H229,'Calc Avalanche'!H229,'Calc Snowball'!H229,'Calc Cashflow'!H229)</f>
        <v/>
      </c>
      <c r="L223" s="67">
        <f>CHOOSE(Plan!$K$5,'Calc Smart'!I229,'Calc Avalanche'!I229,'Calc Snowball'!I229,'Calc Cashflow'!I229)</f>
        <v/>
      </c>
      <c r="M223" s="67">
        <f>CHOOSE(Plan!$K$5,'Calc Smart'!J229,'Calc Avalanche'!J229,'Calc Snowball'!J229,'Calc Cashflow'!J229)</f>
        <v/>
      </c>
      <c r="N223" s="67">
        <f>CHOOSE(Plan!$K$5,'Calc Smart'!K229,'Calc Avalanche'!K229,'Calc Snowball'!K229,'Calc Cashflow'!K229)</f>
        <v/>
      </c>
      <c r="O223" s="67">
        <f>CHOOSE(Plan!$K$5,'Calc Smart'!L229,'Calc Avalanche'!L229,'Calc Snowball'!L229,'Calc Cashflow'!L229)</f>
        <v/>
      </c>
      <c r="P223" s="67">
        <f>CHOOSE(Plan!$K$5,'Calc Smart'!M229,'Calc Avalanche'!M229,'Calc Snowball'!M229,'Calc Cashflow'!M229)</f>
        <v/>
      </c>
      <c r="Q223" s="67">
        <f>CHOOSE(Plan!$K$5,'Calc Smart'!N229,'Calc Avalanche'!N229,'Calc Snowball'!N229,'Calc Cashflow'!N229)</f>
        <v/>
      </c>
    </row>
    <row r="224">
      <c r="B224" s="64">
        <f>EDATE(Plan!$C$6,218)</f>
        <v/>
      </c>
      <c r="C224" s="31">
        <f>CHOOSE(Plan!$K$5,'Calc Smart'!AE230,'Calc Avalanche'!AE230,'Calc Snowball'!AE230,'Calc Cashflow'!AE230)</f>
        <v/>
      </c>
      <c r="D224" s="31">
        <f>CHOOSE(Plan!$K$5,'Calc Smart'!AD230,'Calc Avalanche'!AD230,'Calc Snowball'!AD230,'Calc Cashflow'!AD230)</f>
        <v/>
      </c>
      <c r="E224" s="40">
        <f>CHOOSE(Plan!$K$5,COUNTIF('Calc Smart'!C230:N230,"&gt;0"),COUNTIF('Calc Avalanche'!C230:N230,"&gt;0"),COUNTIF('Calc Snowball'!C230:N230,"&gt;0"),COUNTIF('Calc Cashflow'!C230:N230,"&gt;0"))</f>
        <v/>
      </c>
      <c r="F224" s="65">
        <f>CHOOSE(Plan!$K$5,'Calc Smart'!C230,'Calc Avalanche'!C230,'Calc Snowball'!C230,'Calc Cashflow'!C230)</f>
        <v/>
      </c>
      <c r="G224" s="65">
        <f>CHOOSE(Plan!$K$5,'Calc Smart'!D230,'Calc Avalanche'!D230,'Calc Snowball'!D230,'Calc Cashflow'!D230)</f>
        <v/>
      </c>
      <c r="H224" s="65">
        <f>CHOOSE(Plan!$K$5,'Calc Smart'!E230,'Calc Avalanche'!E230,'Calc Snowball'!E230,'Calc Cashflow'!E230)</f>
        <v/>
      </c>
      <c r="I224" s="65">
        <f>CHOOSE(Plan!$K$5,'Calc Smart'!F230,'Calc Avalanche'!F230,'Calc Snowball'!F230,'Calc Cashflow'!F230)</f>
        <v/>
      </c>
      <c r="J224" s="65">
        <f>CHOOSE(Plan!$K$5,'Calc Smart'!G230,'Calc Avalanche'!G230,'Calc Snowball'!G230,'Calc Cashflow'!G230)</f>
        <v/>
      </c>
      <c r="K224" s="65">
        <f>CHOOSE(Plan!$K$5,'Calc Smart'!H230,'Calc Avalanche'!H230,'Calc Snowball'!H230,'Calc Cashflow'!H230)</f>
        <v/>
      </c>
      <c r="L224" s="65">
        <f>CHOOSE(Plan!$K$5,'Calc Smart'!I230,'Calc Avalanche'!I230,'Calc Snowball'!I230,'Calc Cashflow'!I230)</f>
        <v/>
      </c>
      <c r="M224" s="65">
        <f>CHOOSE(Plan!$K$5,'Calc Smart'!J230,'Calc Avalanche'!J230,'Calc Snowball'!J230,'Calc Cashflow'!J230)</f>
        <v/>
      </c>
      <c r="N224" s="65">
        <f>CHOOSE(Plan!$K$5,'Calc Smart'!K230,'Calc Avalanche'!K230,'Calc Snowball'!K230,'Calc Cashflow'!K230)</f>
        <v/>
      </c>
      <c r="O224" s="65">
        <f>CHOOSE(Plan!$K$5,'Calc Smart'!L230,'Calc Avalanche'!L230,'Calc Snowball'!L230,'Calc Cashflow'!L230)</f>
        <v/>
      </c>
      <c r="P224" s="65">
        <f>CHOOSE(Plan!$K$5,'Calc Smart'!M230,'Calc Avalanche'!M230,'Calc Snowball'!M230,'Calc Cashflow'!M230)</f>
        <v/>
      </c>
      <c r="Q224" s="65">
        <f>CHOOSE(Plan!$K$5,'Calc Smart'!N230,'Calc Avalanche'!N230,'Calc Snowball'!N230,'Calc Cashflow'!N230)</f>
        <v/>
      </c>
    </row>
    <row r="225">
      <c r="B225" s="66">
        <f>EDATE(Plan!$C$6,219)</f>
        <v/>
      </c>
      <c r="C225" s="32">
        <f>CHOOSE(Plan!$K$5,'Calc Smart'!AE231,'Calc Avalanche'!AE231,'Calc Snowball'!AE231,'Calc Cashflow'!AE231)</f>
        <v/>
      </c>
      <c r="D225" s="32">
        <f>CHOOSE(Plan!$K$5,'Calc Smart'!AD231,'Calc Avalanche'!AD231,'Calc Snowball'!AD231,'Calc Cashflow'!AD231)</f>
        <v/>
      </c>
      <c r="E225" s="43">
        <f>CHOOSE(Plan!$K$5,COUNTIF('Calc Smart'!C231:N231,"&gt;0"),COUNTIF('Calc Avalanche'!C231:N231,"&gt;0"),COUNTIF('Calc Snowball'!C231:N231,"&gt;0"),COUNTIF('Calc Cashflow'!C231:N231,"&gt;0"))</f>
        <v/>
      </c>
      <c r="F225" s="67">
        <f>CHOOSE(Plan!$K$5,'Calc Smart'!C231,'Calc Avalanche'!C231,'Calc Snowball'!C231,'Calc Cashflow'!C231)</f>
        <v/>
      </c>
      <c r="G225" s="67">
        <f>CHOOSE(Plan!$K$5,'Calc Smart'!D231,'Calc Avalanche'!D231,'Calc Snowball'!D231,'Calc Cashflow'!D231)</f>
        <v/>
      </c>
      <c r="H225" s="67">
        <f>CHOOSE(Plan!$K$5,'Calc Smart'!E231,'Calc Avalanche'!E231,'Calc Snowball'!E231,'Calc Cashflow'!E231)</f>
        <v/>
      </c>
      <c r="I225" s="67">
        <f>CHOOSE(Plan!$K$5,'Calc Smart'!F231,'Calc Avalanche'!F231,'Calc Snowball'!F231,'Calc Cashflow'!F231)</f>
        <v/>
      </c>
      <c r="J225" s="67">
        <f>CHOOSE(Plan!$K$5,'Calc Smart'!G231,'Calc Avalanche'!G231,'Calc Snowball'!G231,'Calc Cashflow'!G231)</f>
        <v/>
      </c>
      <c r="K225" s="67">
        <f>CHOOSE(Plan!$K$5,'Calc Smart'!H231,'Calc Avalanche'!H231,'Calc Snowball'!H231,'Calc Cashflow'!H231)</f>
        <v/>
      </c>
      <c r="L225" s="67">
        <f>CHOOSE(Plan!$K$5,'Calc Smart'!I231,'Calc Avalanche'!I231,'Calc Snowball'!I231,'Calc Cashflow'!I231)</f>
        <v/>
      </c>
      <c r="M225" s="67">
        <f>CHOOSE(Plan!$K$5,'Calc Smart'!J231,'Calc Avalanche'!J231,'Calc Snowball'!J231,'Calc Cashflow'!J231)</f>
        <v/>
      </c>
      <c r="N225" s="67">
        <f>CHOOSE(Plan!$K$5,'Calc Smart'!K231,'Calc Avalanche'!K231,'Calc Snowball'!K231,'Calc Cashflow'!K231)</f>
        <v/>
      </c>
      <c r="O225" s="67">
        <f>CHOOSE(Plan!$K$5,'Calc Smart'!L231,'Calc Avalanche'!L231,'Calc Snowball'!L231,'Calc Cashflow'!L231)</f>
        <v/>
      </c>
      <c r="P225" s="67">
        <f>CHOOSE(Plan!$K$5,'Calc Smart'!M231,'Calc Avalanche'!M231,'Calc Snowball'!M231,'Calc Cashflow'!M231)</f>
        <v/>
      </c>
      <c r="Q225" s="67">
        <f>CHOOSE(Plan!$K$5,'Calc Smart'!N231,'Calc Avalanche'!N231,'Calc Snowball'!N231,'Calc Cashflow'!N231)</f>
        <v/>
      </c>
    </row>
    <row r="226">
      <c r="B226" s="64">
        <f>EDATE(Plan!$C$6,220)</f>
        <v/>
      </c>
      <c r="C226" s="31">
        <f>CHOOSE(Plan!$K$5,'Calc Smart'!AE232,'Calc Avalanche'!AE232,'Calc Snowball'!AE232,'Calc Cashflow'!AE232)</f>
        <v/>
      </c>
      <c r="D226" s="31">
        <f>CHOOSE(Plan!$K$5,'Calc Smart'!AD232,'Calc Avalanche'!AD232,'Calc Snowball'!AD232,'Calc Cashflow'!AD232)</f>
        <v/>
      </c>
      <c r="E226" s="40">
        <f>CHOOSE(Plan!$K$5,COUNTIF('Calc Smart'!C232:N232,"&gt;0"),COUNTIF('Calc Avalanche'!C232:N232,"&gt;0"),COUNTIF('Calc Snowball'!C232:N232,"&gt;0"),COUNTIF('Calc Cashflow'!C232:N232,"&gt;0"))</f>
        <v/>
      </c>
      <c r="F226" s="65">
        <f>CHOOSE(Plan!$K$5,'Calc Smart'!C232,'Calc Avalanche'!C232,'Calc Snowball'!C232,'Calc Cashflow'!C232)</f>
        <v/>
      </c>
      <c r="G226" s="65">
        <f>CHOOSE(Plan!$K$5,'Calc Smart'!D232,'Calc Avalanche'!D232,'Calc Snowball'!D232,'Calc Cashflow'!D232)</f>
        <v/>
      </c>
      <c r="H226" s="65">
        <f>CHOOSE(Plan!$K$5,'Calc Smart'!E232,'Calc Avalanche'!E232,'Calc Snowball'!E232,'Calc Cashflow'!E232)</f>
        <v/>
      </c>
      <c r="I226" s="65">
        <f>CHOOSE(Plan!$K$5,'Calc Smart'!F232,'Calc Avalanche'!F232,'Calc Snowball'!F232,'Calc Cashflow'!F232)</f>
        <v/>
      </c>
      <c r="J226" s="65">
        <f>CHOOSE(Plan!$K$5,'Calc Smart'!G232,'Calc Avalanche'!G232,'Calc Snowball'!G232,'Calc Cashflow'!G232)</f>
        <v/>
      </c>
      <c r="K226" s="65">
        <f>CHOOSE(Plan!$K$5,'Calc Smart'!H232,'Calc Avalanche'!H232,'Calc Snowball'!H232,'Calc Cashflow'!H232)</f>
        <v/>
      </c>
      <c r="L226" s="65">
        <f>CHOOSE(Plan!$K$5,'Calc Smart'!I232,'Calc Avalanche'!I232,'Calc Snowball'!I232,'Calc Cashflow'!I232)</f>
        <v/>
      </c>
      <c r="M226" s="65">
        <f>CHOOSE(Plan!$K$5,'Calc Smart'!J232,'Calc Avalanche'!J232,'Calc Snowball'!J232,'Calc Cashflow'!J232)</f>
        <v/>
      </c>
      <c r="N226" s="65">
        <f>CHOOSE(Plan!$K$5,'Calc Smart'!K232,'Calc Avalanche'!K232,'Calc Snowball'!K232,'Calc Cashflow'!K232)</f>
        <v/>
      </c>
      <c r="O226" s="65">
        <f>CHOOSE(Plan!$K$5,'Calc Smart'!L232,'Calc Avalanche'!L232,'Calc Snowball'!L232,'Calc Cashflow'!L232)</f>
        <v/>
      </c>
      <c r="P226" s="65">
        <f>CHOOSE(Plan!$K$5,'Calc Smart'!M232,'Calc Avalanche'!M232,'Calc Snowball'!M232,'Calc Cashflow'!M232)</f>
        <v/>
      </c>
      <c r="Q226" s="65">
        <f>CHOOSE(Plan!$K$5,'Calc Smart'!N232,'Calc Avalanche'!N232,'Calc Snowball'!N232,'Calc Cashflow'!N232)</f>
        <v/>
      </c>
    </row>
    <row r="227">
      <c r="B227" s="66">
        <f>EDATE(Plan!$C$6,221)</f>
        <v/>
      </c>
      <c r="C227" s="32">
        <f>CHOOSE(Plan!$K$5,'Calc Smart'!AE233,'Calc Avalanche'!AE233,'Calc Snowball'!AE233,'Calc Cashflow'!AE233)</f>
        <v/>
      </c>
      <c r="D227" s="32">
        <f>CHOOSE(Plan!$K$5,'Calc Smart'!AD233,'Calc Avalanche'!AD233,'Calc Snowball'!AD233,'Calc Cashflow'!AD233)</f>
        <v/>
      </c>
      <c r="E227" s="43">
        <f>CHOOSE(Plan!$K$5,COUNTIF('Calc Smart'!C233:N233,"&gt;0"),COUNTIF('Calc Avalanche'!C233:N233,"&gt;0"),COUNTIF('Calc Snowball'!C233:N233,"&gt;0"),COUNTIF('Calc Cashflow'!C233:N233,"&gt;0"))</f>
        <v/>
      </c>
      <c r="F227" s="67">
        <f>CHOOSE(Plan!$K$5,'Calc Smart'!C233,'Calc Avalanche'!C233,'Calc Snowball'!C233,'Calc Cashflow'!C233)</f>
        <v/>
      </c>
      <c r="G227" s="67">
        <f>CHOOSE(Plan!$K$5,'Calc Smart'!D233,'Calc Avalanche'!D233,'Calc Snowball'!D233,'Calc Cashflow'!D233)</f>
        <v/>
      </c>
      <c r="H227" s="67">
        <f>CHOOSE(Plan!$K$5,'Calc Smart'!E233,'Calc Avalanche'!E233,'Calc Snowball'!E233,'Calc Cashflow'!E233)</f>
        <v/>
      </c>
      <c r="I227" s="67">
        <f>CHOOSE(Plan!$K$5,'Calc Smart'!F233,'Calc Avalanche'!F233,'Calc Snowball'!F233,'Calc Cashflow'!F233)</f>
        <v/>
      </c>
      <c r="J227" s="67">
        <f>CHOOSE(Plan!$K$5,'Calc Smart'!G233,'Calc Avalanche'!G233,'Calc Snowball'!G233,'Calc Cashflow'!G233)</f>
        <v/>
      </c>
      <c r="K227" s="67">
        <f>CHOOSE(Plan!$K$5,'Calc Smart'!H233,'Calc Avalanche'!H233,'Calc Snowball'!H233,'Calc Cashflow'!H233)</f>
        <v/>
      </c>
      <c r="L227" s="67">
        <f>CHOOSE(Plan!$K$5,'Calc Smart'!I233,'Calc Avalanche'!I233,'Calc Snowball'!I233,'Calc Cashflow'!I233)</f>
        <v/>
      </c>
      <c r="M227" s="67">
        <f>CHOOSE(Plan!$K$5,'Calc Smart'!J233,'Calc Avalanche'!J233,'Calc Snowball'!J233,'Calc Cashflow'!J233)</f>
        <v/>
      </c>
      <c r="N227" s="67">
        <f>CHOOSE(Plan!$K$5,'Calc Smart'!K233,'Calc Avalanche'!K233,'Calc Snowball'!K233,'Calc Cashflow'!K233)</f>
        <v/>
      </c>
      <c r="O227" s="67">
        <f>CHOOSE(Plan!$K$5,'Calc Smart'!L233,'Calc Avalanche'!L233,'Calc Snowball'!L233,'Calc Cashflow'!L233)</f>
        <v/>
      </c>
      <c r="P227" s="67">
        <f>CHOOSE(Plan!$K$5,'Calc Smart'!M233,'Calc Avalanche'!M233,'Calc Snowball'!M233,'Calc Cashflow'!M233)</f>
        <v/>
      </c>
      <c r="Q227" s="67">
        <f>CHOOSE(Plan!$K$5,'Calc Smart'!N233,'Calc Avalanche'!N233,'Calc Snowball'!N233,'Calc Cashflow'!N233)</f>
        <v/>
      </c>
    </row>
    <row r="228">
      <c r="B228" s="64">
        <f>EDATE(Plan!$C$6,222)</f>
        <v/>
      </c>
      <c r="C228" s="31">
        <f>CHOOSE(Plan!$K$5,'Calc Smart'!AE234,'Calc Avalanche'!AE234,'Calc Snowball'!AE234,'Calc Cashflow'!AE234)</f>
        <v/>
      </c>
      <c r="D228" s="31">
        <f>CHOOSE(Plan!$K$5,'Calc Smart'!AD234,'Calc Avalanche'!AD234,'Calc Snowball'!AD234,'Calc Cashflow'!AD234)</f>
        <v/>
      </c>
      <c r="E228" s="40">
        <f>CHOOSE(Plan!$K$5,COUNTIF('Calc Smart'!C234:N234,"&gt;0"),COUNTIF('Calc Avalanche'!C234:N234,"&gt;0"),COUNTIF('Calc Snowball'!C234:N234,"&gt;0"),COUNTIF('Calc Cashflow'!C234:N234,"&gt;0"))</f>
        <v/>
      </c>
      <c r="F228" s="65">
        <f>CHOOSE(Plan!$K$5,'Calc Smart'!C234,'Calc Avalanche'!C234,'Calc Snowball'!C234,'Calc Cashflow'!C234)</f>
        <v/>
      </c>
      <c r="G228" s="65">
        <f>CHOOSE(Plan!$K$5,'Calc Smart'!D234,'Calc Avalanche'!D234,'Calc Snowball'!D234,'Calc Cashflow'!D234)</f>
        <v/>
      </c>
      <c r="H228" s="65">
        <f>CHOOSE(Plan!$K$5,'Calc Smart'!E234,'Calc Avalanche'!E234,'Calc Snowball'!E234,'Calc Cashflow'!E234)</f>
        <v/>
      </c>
      <c r="I228" s="65">
        <f>CHOOSE(Plan!$K$5,'Calc Smart'!F234,'Calc Avalanche'!F234,'Calc Snowball'!F234,'Calc Cashflow'!F234)</f>
        <v/>
      </c>
      <c r="J228" s="65">
        <f>CHOOSE(Plan!$K$5,'Calc Smart'!G234,'Calc Avalanche'!G234,'Calc Snowball'!G234,'Calc Cashflow'!G234)</f>
        <v/>
      </c>
      <c r="K228" s="65">
        <f>CHOOSE(Plan!$K$5,'Calc Smart'!H234,'Calc Avalanche'!H234,'Calc Snowball'!H234,'Calc Cashflow'!H234)</f>
        <v/>
      </c>
      <c r="L228" s="65">
        <f>CHOOSE(Plan!$K$5,'Calc Smart'!I234,'Calc Avalanche'!I234,'Calc Snowball'!I234,'Calc Cashflow'!I234)</f>
        <v/>
      </c>
      <c r="M228" s="65">
        <f>CHOOSE(Plan!$K$5,'Calc Smart'!J234,'Calc Avalanche'!J234,'Calc Snowball'!J234,'Calc Cashflow'!J234)</f>
        <v/>
      </c>
      <c r="N228" s="65">
        <f>CHOOSE(Plan!$K$5,'Calc Smart'!K234,'Calc Avalanche'!K234,'Calc Snowball'!K234,'Calc Cashflow'!K234)</f>
        <v/>
      </c>
      <c r="O228" s="65">
        <f>CHOOSE(Plan!$K$5,'Calc Smart'!L234,'Calc Avalanche'!L234,'Calc Snowball'!L234,'Calc Cashflow'!L234)</f>
        <v/>
      </c>
      <c r="P228" s="65">
        <f>CHOOSE(Plan!$K$5,'Calc Smart'!M234,'Calc Avalanche'!M234,'Calc Snowball'!M234,'Calc Cashflow'!M234)</f>
        <v/>
      </c>
      <c r="Q228" s="65">
        <f>CHOOSE(Plan!$K$5,'Calc Smart'!N234,'Calc Avalanche'!N234,'Calc Snowball'!N234,'Calc Cashflow'!N234)</f>
        <v/>
      </c>
    </row>
    <row r="229">
      <c r="B229" s="66">
        <f>EDATE(Plan!$C$6,223)</f>
        <v/>
      </c>
      <c r="C229" s="32">
        <f>CHOOSE(Plan!$K$5,'Calc Smart'!AE235,'Calc Avalanche'!AE235,'Calc Snowball'!AE235,'Calc Cashflow'!AE235)</f>
        <v/>
      </c>
      <c r="D229" s="32">
        <f>CHOOSE(Plan!$K$5,'Calc Smart'!AD235,'Calc Avalanche'!AD235,'Calc Snowball'!AD235,'Calc Cashflow'!AD235)</f>
        <v/>
      </c>
      <c r="E229" s="43">
        <f>CHOOSE(Plan!$K$5,COUNTIF('Calc Smart'!C235:N235,"&gt;0"),COUNTIF('Calc Avalanche'!C235:N235,"&gt;0"),COUNTIF('Calc Snowball'!C235:N235,"&gt;0"),COUNTIF('Calc Cashflow'!C235:N235,"&gt;0"))</f>
        <v/>
      </c>
      <c r="F229" s="67">
        <f>CHOOSE(Plan!$K$5,'Calc Smart'!C235,'Calc Avalanche'!C235,'Calc Snowball'!C235,'Calc Cashflow'!C235)</f>
        <v/>
      </c>
      <c r="G229" s="67">
        <f>CHOOSE(Plan!$K$5,'Calc Smart'!D235,'Calc Avalanche'!D235,'Calc Snowball'!D235,'Calc Cashflow'!D235)</f>
        <v/>
      </c>
      <c r="H229" s="67">
        <f>CHOOSE(Plan!$K$5,'Calc Smart'!E235,'Calc Avalanche'!E235,'Calc Snowball'!E235,'Calc Cashflow'!E235)</f>
        <v/>
      </c>
      <c r="I229" s="67">
        <f>CHOOSE(Plan!$K$5,'Calc Smart'!F235,'Calc Avalanche'!F235,'Calc Snowball'!F235,'Calc Cashflow'!F235)</f>
        <v/>
      </c>
      <c r="J229" s="67">
        <f>CHOOSE(Plan!$K$5,'Calc Smart'!G235,'Calc Avalanche'!G235,'Calc Snowball'!G235,'Calc Cashflow'!G235)</f>
        <v/>
      </c>
      <c r="K229" s="67">
        <f>CHOOSE(Plan!$K$5,'Calc Smart'!H235,'Calc Avalanche'!H235,'Calc Snowball'!H235,'Calc Cashflow'!H235)</f>
        <v/>
      </c>
      <c r="L229" s="67">
        <f>CHOOSE(Plan!$K$5,'Calc Smart'!I235,'Calc Avalanche'!I235,'Calc Snowball'!I235,'Calc Cashflow'!I235)</f>
        <v/>
      </c>
      <c r="M229" s="67">
        <f>CHOOSE(Plan!$K$5,'Calc Smart'!J235,'Calc Avalanche'!J235,'Calc Snowball'!J235,'Calc Cashflow'!J235)</f>
        <v/>
      </c>
      <c r="N229" s="67">
        <f>CHOOSE(Plan!$K$5,'Calc Smart'!K235,'Calc Avalanche'!K235,'Calc Snowball'!K235,'Calc Cashflow'!K235)</f>
        <v/>
      </c>
      <c r="O229" s="67">
        <f>CHOOSE(Plan!$K$5,'Calc Smart'!L235,'Calc Avalanche'!L235,'Calc Snowball'!L235,'Calc Cashflow'!L235)</f>
        <v/>
      </c>
      <c r="P229" s="67">
        <f>CHOOSE(Plan!$K$5,'Calc Smart'!M235,'Calc Avalanche'!M235,'Calc Snowball'!M235,'Calc Cashflow'!M235)</f>
        <v/>
      </c>
      <c r="Q229" s="67">
        <f>CHOOSE(Plan!$K$5,'Calc Smart'!N235,'Calc Avalanche'!N235,'Calc Snowball'!N235,'Calc Cashflow'!N235)</f>
        <v/>
      </c>
    </row>
    <row r="230">
      <c r="B230" s="64">
        <f>EDATE(Plan!$C$6,224)</f>
        <v/>
      </c>
      <c r="C230" s="31">
        <f>CHOOSE(Plan!$K$5,'Calc Smart'!AE236,'Calc Avalanche'!AE236,'Calc Snowball'!AE236,'Calc Cashflow'!AE236)</f>
        <v/>
      </c>
      <c r="D230" s="31">
        <f>CHOOSE(Plan!$K$5,'Calc Smart'!AD236,'Calc Avalanche'!AD236,'Calc Snowball'!AD236,'Calc Cashflow'!AD236)</f>
        <v/>
      </c>
      <c r="E230" s="40">
        <f>CHOOSE(Plan!$K$5,COUNTIF('Calc Smart'!C236:N236,"&gt;0"),COUNTIF('Calc Avalanche'!C236:N236,"&gt;0"),COUNTIF('Calc Snowball'!C236:N236,"&gt;0"),COUNTIF('Calc Cashflow'!C236:N236,"&gt;0"))</f>
        <v/>
      </c>
      <c r="F230" s="65">
        <f>CHOOSE(Plan!$K$5,'Calc Smart'!C236,'Calc Avalanche'!C236,'Calc Snowball'!C236,'Calc Cashflow'!C236)</f>
        <v/>
      </c>
      <c r="G230" s="65">
        <f>CHOOSE(Plan!$K$5,'Calc Smart'!D236,'Calc Avalanche'!D236,'Calc Snowball'!D236,'Calc Cashflow'!D236)</f>
        <v/>
      </c>
      <c r="H230" s="65">
        <f>CHOOSE(Plan!$K$5,'Calc Smart'!E236,'Calc Avalanche'!E236,'Calc Snowball'!E236,'Calc Cashflow'!E236)</f>
        <v/>
      </c>
      <c r="I230" s="65">
        <f>CHOOSE(Plan!$K$5,'Calc Smart'!F236,'Calc Avalanche'!F236,'Calc Snowball'!F236,'Calc Cashflow'!F236)</f>
        <v/>
      </c>
      <c r="J230" s="65">
        <f>CHOOSE(Plan!$K$5,'Calc Smart'!G236,'Calc Avalanche'!G236,'Calc Snowball'!G236,'Calc Cashflow'!G236)</f>
        <v/>
      </c>
      <c r="K230" s="65">
        <f>CHOOSE(Plan!$K$5,'Calc Smart'!H236,'Calc Avalanche'!H236,'Calc Snowball'!H236,'Calc Cashflow'!H236)</f>
        <v/>
      </c>
      <c r="L230" s="65">
        <f>CHOOSE(Plan!$K$5,'Calc Smart'!I236,'Calc Avalanche'!I236,'Calc Snowball'!I236,'Calc Cashflow'!I236)</f>
        <v/>
      </c>
      <c r="M230" s="65">
        <f>CHOOSE(Plan!$K$5,'Calc Smart'!J236,'Calc Avalanche'!J236,'Calc Snowball'!J236,'Calc Cashflow'!J236)</f>
        <v/>
      </c>
      <c r="N230" s="65">
        <f>CHOOSE(Plan!$K$5,'Calc Smart'!K236,'Calc Avalanche'!K236,'Calc Snowball'!K236,'Calc Cashflow'!K236)</f>
        <v/>
      </c>
      <c r="O230" s="65">
        <f>CHOOSE(Plan!$K$5,'Calc Smart'!L236,'Calc Avalanche'!L236,'Calc Snowball'!L236,'Calc Cashflow'!L236)</f>
        <v/>
      </c>
      <c r="P230" s="65">
        <f>CHOOSE(Plan!$K$5,'Calc Smart'!M236,'Calc Avalanche'!M236,'Calc Snowball'!M236,'Calc Cashflow'!M236)</f>
        <v/>
      </c>
      <c r="Q230" s="65">
        <f>CHOOSE(Plan!$K$5,'Calc Smart'!N236,'Calc Avalanche'!N236,'Calc Snowball'!N236,'Calc Cashflow'!N236)</f>
        <v/>
      </c>
    </row>
    <row r="231">
      <c r="B231" s="66">
        <f>EDATE(Plan!$C$6,225)</f>
        <v/>
      </c>
      <c r="C231" s="32">
        <f>CHOOSE(Plan!$K$5,'Calc Smart'!AE237,'Calc Avalanche'!AE237,'Calc Snowball'!AE237,'Calc Cashflow'!AE237)</f>
        <v/>
      </c>
      <c r="D231" s="32">
        <f>CHOOSE(Plan!$K$5,'Calc Smart'!AD237,'Calc Avalanche'!AD237,'Calc Snowball'!AD237,'Calc Cashflow'!AD237)</f>
        <v/>
      </c>
      <c r="E231" s="43">
        <f>CHOOSE(Plan!$K$5,COUNTIF('Calc Smart'!C237:N237,"&gt;0"),COUNTIF('Calc Avalanche'!C237:N237,"&gt;0"),COUNTIF('Calc Snowball'!C237:N237,"&gt;0"),COUNTIF('Calc Cashflow'!C237:N237,"&gt;0"))</f>
        <v/>
      </c>
      <c r="F231" s="67">
        <f>CHOOSE(Plan!$K$5,'Calc Smart'!C237,'Calc Avalanche'!C237,'Calc Snowball'!C237,'Calc Cashflow'!C237)</f>
        <v/>
      </c>
      <c r="G231" s="67">
        <f>CHOOSE(Plan!$K$5,'Calc Smart'!D237,'Calc Avalanche'!D237,'Calc Snowball'!D237,'Calc Cashflow'!D237)</f>
        <v/>
      </c>
      <c r="H231" s="67">
        <f>CHOOSE(Plan!$K$5,'Calc Smart'!E237,'Calc Avalanche'!E237,'Calc Snowball'!E237,'Calc Cashflow'!E237)</f>
        <v/>
      </c>
      <c r="I231" s="67">
        <f>CHOOSE(Plan!$K$5,'Calc Smart'!F237,'Calc Avalanche'!F237,'Calc Snowball'!F237,'Calc Cashflow'!F237)</f>
        <v/>
      </c>
      <c r="J231" s="67">
        <f>CHOOSE(Plan!$K$5,'Calc Smart'!G237,'Calc Avalanche'!G237,'Calc Snowball'!G237,'Calc Cashflow'!G237)</f>
        <v/>
      </c>
      <c r="K231" s="67">
        <f>CHOOSE(Plan!$K$5,'Calc Smart'!H237,'Calc Avalanche'!H237,'Calc Snowball'!H237,'Calc Cashflow'!H237)</f>
        <v/>
      </c>
      <c r="L231" s="67">
        <f>CHOOSE(Plan!$K$5,'Calc Smart'!I237,'Calc Avalanche'!I237,'Calc Snowball'!I237,'Calc Cashflow'!I237)</f>
        <v/>
      </c>
      <c r="M231" s="67">
        <f>CHOOSE(Plan!$K$5,'Calc Smart'!J237,'Calc Avalanche'!J237,'Calc Snowball'!J237,'Calc Cashflow'!J237)</f>
        <v/>
      </c>
      <c r="N231" s="67">
        <f>CHOOSE(Plan!$K$5,'Calc Smart'!K237,'Calc Avalanche'!K237,'Calc Snowball'!K237,'Calc Cashflow'!K237)</f>
        <v/>
      </c>
      <c r="O231" s="67">
        <f>CHOOSE(Plan!$K$5,'Calc Smart'!L237,'Calc Avalanche'!L237,'Calc Snowball'!L237,'Calc Cashflow'!L237)</f>
        <v/>
      </c>
      <c r="P231" s="67">
        <f>CHOOSE(Plan!$K$5,'Calc Smart'!M237,'Calc Avalanche'!M237,'Calc Snowball'!M237,'Calc Cashflow'!M237)</f>
        <v/>
      </c>
      <c r="Q231" s="67">
        <f>CHOOSE(Plan!$K$5,'Calc Smart'!N237,'Calc Avalanche'!N237,'Calc Snowball'!N237,'Calc Cashflow'!N237)</f>
        <v/>
      </c>
    </row>
    <row r="232">
      <c r="B232" s="64">
        <f>EDATE(Plan!$C$6,226)</f>
        <v/>
      </c>
      <c r="C232" s="31">
        <f>CHOOSE(Plan!$K$5,'Calc Smart'!AE238,'Calc Avalanche'!AE238,'Calc Snowball'!AE238,'Calc Cashflow'!AE238)</f>
        <v/>
      </c>
      <c r="D232" s="31">
        <f>CHOOSE(Plan!$K$5,'Calc Smart'!AD238,'Calc Avalanche'!AD238,'Calc Snowball'!AD238,'Calc Cashflow'!AD238)</f>
        <v/>
      </c>
      <c r="E232" s="40">
        <f>CHOOSE(Plan!$K$5,COUNTIF('Calc Smart'!C238:N238,"&gt;0"),COUNTIF('Calc Avalanche'!C238:N238,"&gt;0"),COUNTIF('Calc Snowball'!C238:N238,"&gt;0"),COUNTIF('Calc Cashflow'!C238:N238,"&gt;0"))</f>
        <v/>
      </c>
      <c r="F232" s="65">
        <f>CHOOSE(Plan!$K$5,'Calc Smart'!C238,'Calc Avalanche'!C238,'Calc Snowball'!C238,'Calc Cashflow'!C238)</f>
        <v/>
      </c>
      <c r="G232" s="65">
        <f>CHOOSE(Plan!$K$5,'Calc Smart'!D238,'Calc Avalanche'!D238,'Calc Snowball'!D238,'Calc Cashflow'!D238)</f>
        <v/>
      </c>
      <c r="H232" s="65">
        <f>CHOOSE(Plan!$K$5,'Calc Smart'!E238,'Calc Avalanche'!E238,'Calc Snowball'!E238,'Calc Cashflow'!E238)</f>
        <v/>
      </c>
      <c r="I232" s="65">
        <f>CHOOSE(Plan!$K$5,'Calc Smart'!F238,'Calc Avalanche'!F238,'Calc Snowball'!F238,'Calc Cashflow'!F238)</f>
        <v/>
      </c>
      <c r="J232" s="65">
        <f>CHOOSE(Plan!$K$5,'Calc Smart'!G238,'Calc Avalanche'!G238,'Calc Snowball'!G238,'Calc Cashflow'!G238)</f>
        <v/>
      </c>
      <c r="K232" s="65">
        <f>CHOOSE(Plan!$K$5,'Calc Smart'!H238,'Calc Avalanche'!H238,'Calc Snowball'!H238,'Calc Cashflow'!H238)</f>
        <v/>
      </c>
      <c r="L232" s="65">
        <f>CHOOSE(Plan!$K$5,'Calc Smart'!I238,'Calc Avalanche'!I238,'Calc Snowball'!I238,'Calc Cashflow'!I238)</f>
        <v/>
      </c>
      <c r="M232" s="65">
        <f>CHOOSE(Plan!$K$5,'Calc Smart'!J238,'Calc Avalanche'!J238,'Calc Snowball'!J238,'Calc Cashflow'!J238)</f>
        <v/>
      </c>
      <c r="N232" s="65">
        <f>CHOOSE(Plan!$K$5,'Calc Smart'!K238,'Calc Avalanche'!K238,'Calc Snowball'!K238,'Calc Cashflow'!K238)</f>
        <v/>
      </c>
      <c r="O232" s="65">
        <f>CHOOSE(Plan!$K$5,'Calc Smart'!L238,'Calc Avalanche'!L238,'Calc Snowball'!L238,'Calc Cashflow'!L238)</f>
        <v/>
      </c>
      <c r="P232" s="65">
        <f>CHOOSE(Plan!$K$5,'Calc Smart'!M238,'Calc Avalanche'!M238,'Calc Snowball'!M238,'Calc Cashflow'!M238)</f>
        <v/>
      </c>
      <c r="Q232" s="65">
        <f>CHOOSE(Plan!$K$5,'Calc Smart'!N238,'Calc Avalanche'!N238,'Calc Snowball'!N238,'Calc Cashflow'!N238)</f>
        <v/>
      </c>
    </row>
    <row r="233">
      <c r="B233" s="66">
        <f>EDATE(Plan!$C$6,227)</f>
        <v/>
      </c>
      <c r="C233" s="32">
        <f>CHOOSE(Plan!$K$5,'Calc Smart'!AE239,'Calc Avalanche'!AE239,'Calc Snowball'!AE239,'Calc Cashflow'!AE239)</f>
        <v/>
      </c>
      <c r="D233" s="32">
        <f>CHOOSE(Plan!$K$5,'Calc Smart'!AD239,'Calc Avalanche'!AD239,'Calc Snowball'!AD239,'Calc Cashflow'!AD239)</f>
        <v/>
      </c>
      <c r="E233" s="43">
        <f>CHOOSE(Plan!$K$5,COUNTIF('Calc Smart'!C239:N239,"&gt;0"),COUNTIF('Calc Avalanche'!C239:N239,"&gt;0"),COUNTIF('Calc Snowball'!C239:N239,"&gt;0"),COUNTIF('Calc Cashflow'!C239:N239,"&gt;0"))</f>
        <v/>
      </c>
      <c r="F233" s="67">
        <f>CHOOSE(Plan!$K$5,'Calc Smart'!C239,'Calc Avalanche'!C239,'Calc Snowball'!C239,'Calc Cashflow'!C239)</f>
        <v/>
      </c>
      <c r="G233" s="67">
        <f>CHOOSE(Plan!$K$5,'Calc Smart'!D239,'Calc Avalanche'!D239,'Calc Snowball'!D239,'Calc Cashflow'!D239)</f>
        <v/>
      </c>
      <c r="H233" s="67">
        <f>CHOOSE(Plan!$K$5,'Calc Smart'!E239,'Calc Avalanche'!E239,'Calc Snowball'!E239,'Calc Cashflow'!E239)</f>
        <v/>
      </c>
      <c r="I233" s="67">
        <f>CHOOSE(Plan!$K$5,'Calc Smart'!F239,'Calc Avalanche'!F239,'Calc Snowball'!F239,'Calc Cashflow'!F239)</f>
        <v/>
      </c>
      <c r="J233" s="67">
        <f>CHOOSE(Plan!$K$5,'Calc Smart'!G239,'Calc Avalanche'!G239,'Calc Snowball'!G239,'Calc Cashflow'!G239)</f>
        <v/>
      </c>
      <c r="K233" s="67">
        <f>CHOOSE(Plan!$K$5,'Calc Smart'!H239,'Calc Avalanche'!H239,'Calc Snowball'!H239,'Calc Cashflow'!H239)</f>
        <v/>
      </c>
      <c r="L233" s="67">
        <f>CHOOSE(Plan!$K$5,'Calc Smart'!I239,'Calc Avalanche'!I239,'Calc Snowball'!I239,'Calc Cashflow'!I239)</f>
        <v/>
      </c>
      <c r="M233" s="67">
        <f>CHOOSE(Plan!$K$5,'Calc Smart'!J239,'Calc Avalanche'!J239,'Calc Snowball'!J239,'Calc Cashflow'!J239)</f>
        <v/>
      </c>
      <c r="N233" s="67">
        <f>CHOOSE(Plan!$K$5,'Calc Smart'!K239,'Calc Avalanche'!K239,'Calc Snowball'!K239,'Calc Cashflow'!K239)</f>
        <v/>
      </c>
      <c r="O233" s="67">
        <f>CHOOSE(Plan!$K$5,'Calc Smart'!L239,'Calc Avalanche'!L239,'Calc Snowball'!L239,'Calc Cashflow'!L239)</f>
        <v/>
      </c>
      <c r="P233" s="67">
        <f>CHOOSE(Plan!$K$5,'Calc Smart'!M239,'Calc Avalanche'!M239,'Calc Snowball'!M239,'Calc Cashflow'!M239)</f>
        <v/>
      </c>
      <c r="Q233" s="67">
        <f>CHOOSE(Plan!$K$5,'Calc Smart'!N239,'Calc Avalanche'!N239,'Calc Snowball'!N239,'Calc Cashflow'!N239)</f>
        <v/>
      </c>
    </row>
    <row r="234">
      <c r="B234" s="64">
        <f>EDATE(Plan!$C$6,228)</f>
        <v/>
      </c>
      <c r="C234" s="31">
        <f>CHOOSE(Plan!$K$5,'Calc Smart'!AE240,'Calc Avalanche'!AE240,'Calc Snowball'!AE240,'Calc Cashflow'!AE240)</f>
        <v/>
      </c>
      <c r="D234" s="31">
        <f>CHOOSE(Plan!$K$5,'Calc Smart'!AD240,'Calc Avalanche'!AD240,'Calc Snowball'!AD240,'Calc Cashflow'!AD240)</f>
        <v/>
      </c>
      <c r="E234" s="40">
        <f>CHOOSE(Plan!$K$5,COUNTIF('Calc Smart'!C240:N240,"&gt;0"),COUNTIF('Calc Avalanche'!C240:N240,"&gt;0"),COUNTIF('Calc Snowball'!C240:N240,"&gt;0"),COUNTIF('Calc Cashflow'!C240:N240,"&gt;0"))</f>
        <v/>
      </c>
      <c r="F234" s="65">
        <f>CHOOSE(Plan!$K$5,'Calc Smart'!C240,'Calc Avalanche'!C240,'Calc Snowball'!C240,'Calc Cashflow'!C240)</f>
        <v/>
      </c>
      <c r="G234" s="65">
        <f>CHOOSE(Plan!$K$5,'Calc Smart'!D240,'Calc Avalanche'!D240,'Calc Snowball'!D240,'Calc Cashflow'!D240)</f>
        <v/>
      </c>
      <c r="H234" s="65">
        <f>CHOOSE(Plan!$K$5,'Calc Smart'!E240,'Calc Avalanche'!E240,'Calc Snowball'!E240,'Calc Cashflow'!E240)</f>
        <v/>
      </c>
      <c r="I234" s="65">
        <f>CHOOSE(Plan!$K$5,'Calc Smart'!F240,'Calc Avalanche'!F240,'Calc Snowball'!F240,'Calc Cashflow'!F240)</f>
        <v/>
      </c>
      <c r="J234" s="65">
        <f>CHOOSE(Plan!$K$5,'Calc Smart'!G240,'Calc Avalanche'!G240,'Calc Snowball'!G240,'Calc Cashflow'!G240)</f>
        <v/>
      </c>
      <c r="K234" s="65">
        <f>CHOOSE(Plan!$K$5,'Calc Smart'!H240,'Calc Avalanche'!H240,'Calc Snowball'!H240,'Calc Cashflow'!H240)</f>
        <v/>
      </c>
      <c r="L234" s="65">
        <f>CHOOSE(Plan!$K$5,'Calc Smart'!I240,'Calc Avalanche'!I240,'Calc Snowball'!I240,'Calc Cashflow'!I240)</f>
        <v/>
      </c>
      <c r="M234" s="65">
        <f>CHOOSE(Plan!$K$5,'Calc Smart'!J240,'Calc Avalanche'!J240,'Calc Snowball'!J240,'Calc Cashflow'!J240)</f>
        <v/>
      </c>
      <c r="N234" s="65">
        <f>CHOOSE(Plan!$K$5,'Calc Smart'!K240,'Calc Avalanche'!K240,'Calc Snowball'!K240,'Calc Cashflow'!K240)</f>
        <v/>
      </c>
      <c r="O234" s="65">
        <f>CHOOSE(Plan!$K$5,'Calc Smart'!L240,'Calc Avalanche'!L240,'Calc Snowball'!L240,'Calc Cashflow'!L240)</f>
        <v/>
      </c>
      <c r="P234" s="65">
        <f>CHOOSE(Plan!$K$5,'Calc Smart'!M240,'Calc Avalanche'!M240,'Calc Snowball'!M240,'Calc Cashflow'!M240)</f>
        <v/>
      </c>
      <c r="Q234" s="65">
        <f>CHOOSE(Plan!$K$5,'Calc Smart'!N240,'Calc Avalanche'!N240,'Calc Snowball'!N240,'Calc Cashflow'!N240)</f>
        <v/>
      </c>
    </row>
    <row r="235">
      <c r="B235" s="66">
        <f>EDATE(Plan!$C$6,229)</f>
        <v/>
      </c>
      <c r="C235" s="32">
        <f>CHOOSE(Plan!$K$5,'Calc Smart'!AE241,'Calc Avalanche'!AE241,'Calc Snowball'!AE241,'Calc Cashflow'!AE241)</f>
        <v/>
      </c>
      <c r="D235" s="32">
        <f>CHOOSE(Plan!$K$5,'Calc Smart'!AD241,'Calc Avalanche'!AD241,'Calc Snowball'!AD241,'Calc Cashflow'!AD241)</f>
        <v/>
      </c>
      <c r="E235" s="43">
        <f>CHOOSE(Plan!$K$5,COUNTIF('Calc Smart'!C241:N241,"&gt;0"),COUNTIF('Calc Avalanche'!C241:N241,"&gt;0"),COUNTIF('Calc Snowball'!C241:N241,"&gt;0"),COUNTIF('Calc Cashflow'!C241:N241,"&gt;0"))</f>
        <v/>
      </c>
      <c r="F235" s="67">
        <f>CHOOSE(Plan!$K$5,'Calc Smart'!C241,'Calc Avalanche'!C241,'Calc Snowball'!C241,'Calc Cashflow'!C241)</f>
        <v/>
      </c>
      <c r="G235" s="67">
        <f>CHOOSE(Plan!$K$5,'Calc Smart'!D241,'Calc Avalanche'!D241,'Calc Snowball'!D241,'Calc Cashflow'!D241)</f>
        <v/>
      </c>
      <c r="H235" s="67">
        <f>CHOOSE(Plan!$K$5,'Calc Smart'!E241,'Calc Avalanche'!E241,'Calc Snowball'!E241,'Calc Cashflow'!E241)</f>
        <v/>
      </c>
      <c r="I235" s="67">
        <f>CHOOSE(Plan!$K$5,'Calc Smart'!F241,'Calc Avalanche'!F241,'Calc Snowball'!F241,'Calc Cashflow'!F241)</f>
        <v/>
      </c>
      <c r="J235" s="67">
        <f>CHOOSE(Plan!$K$5,'Calc Smart'!G241,'Calc Avalanche'!G241,'Calc Snowball'!G241,'Calc Cashflow'!G241)</f>
        <v/>
      </c>
      <c r="K235" s="67">
        <f>CHOOSE(Plan!$K$5,'Calc Smart'!H241,'Calc Avalanche'!H241,'Calc Snowball'!H241,'Calc Cashflow'!H241)</f>
        <v/>
      </c>
      <c r="L235" s="67">
        <f>CHOOSE(Plan!$K$5,'Calc Smart'!I241,'Calc Avalanche'!I241,'Calc Snowball'!I241,'Calc Cashflow'!I241)</f>
        <v/>
      </c>
      <c r="M235" s="67">
        <f>CHOOSE(Plan!$K$5,'Calc Smart'!J241,'Calc Avalanche'!J241,'Calc Snowball'!J241,'Calc Cashflow'!J241)</f>
        <v/>
      </c>
      <c r="N235" s="67">
        <f>CHOOSE(Plan!$K$5,'Calc Smart'!K241,'Calc Avalanche'!K241,'Calc Snowball'!K241,'Calc Cashflow'!K241)</f>
        <v/>
      </c>
      <c r="O235" s="67">
        <f>CHOOSE(Plan!$K$5,'Calc Smart'!L241,'Calc Avalanche'!L241,'Calc Snowball'!L241,'Calc Cashflow'!L241)</f>
        <v/>
      </c>
      <c r="P235" s="67">
        <f>CHOOSE(Plan!$K$5,'Calc Smart'!M241,'Calc Avalanche'!M241,'Calc Snowball'!M241,'Calc Cashflow'!M241)</f>
        <v/>
      </c>
      <c r="Q235" s="67">
        <f>CHOOSE(Plan!$K$5,'Calc Smart'!N241,'Calc Avalanche'!N241,'Calc Snowball'!N241,'Calc Cashflow'!N241)</f>
        <v/>
      </c>
    </row>
    <row r="236">
      <c r="B236" s="64">
        <f>EDATE(Plan!$C$6,230)</f>
        <v/>
      </c>
      <c r="C236" s="31">
        <f>CHOOSE(Plan!$K$5,'Calc Smart'!AE242,'Calc Avalanche'!AE242,'Calc Snowball'!AE242,'Calc Cashflow'!AE242)</f>
        <v/>
      </c>
      <c r="D236" s="31">
        <f>CHOOSE(Plan!$K$5,'Calc Smart'!AD242,'Calc Avalanche'!AD242,'Calc Snowball'!AD242,'Calc Cashflow'!AD242)</f>
        <v/>
      </c>
      <c r="E236" s="40">
        <f>CHOOSE(Plan!$K$5,COUNTIF('Calc Smart'!C242:N242,"&gt;0"),COUNTIF('Calc Avalanche'!C242:N242,"&gt;0"),COUNTIF('Calc Snowball'!C242:N242,"&gt;0"),COUNTIF('Calc Cashflow'!C242:N242,"&gt;0"))</f>
        <v/>
      </c>
      <c r="F236" s="65">
        <f>CHOOSE(Plan!$K$5,'Calc Smart'!C242,'Calc Avalanche'!C242,'Calc Snowball'!C242,'Calc Cashflow'!C242)</f>
        <v/>
      </c>
      <c r="G236" s="65">
        <f>CHOOSE(Plan!$K$5,'Calc Smart'!D242,'Calc Avalanche'!D242,'Calc Snowball'!D242,'Calc Cashflow'!D242)</f>
        <v/>
      </c>
      <c r="H236" s="65">
        <f>CHOOSE(Plan!$K$5,'Calc Smart'!E242,'Calc Avalanche'!E242,'Calc Snowball'!E242,'Calc Cashflow'!E242)</f>
        <v/>
      </c>
      <c r="I236" s="65">
        <f>CHOOSE(Plan!$K$5,'Calc Smart'!F242,'Calc Avalanche'!F242,'Calc Snowball'!F242,'Calc Cashflow'!F242)</f>
        <v/>
      </c>
      <c r="J236" s="65">
        <f>CHOOSE(Plan!$K$5,'Calc Smart'!G242,'Calc Avalanche'!G242,'Calc Snowball'!G242,'Calc Cashflow'!G242)</f>
        <v/>
      </c>
      <c r="K236" s="65">
        <f>CHOOSE(Plan!$K$5,'Calc Smart'!H242,'Calc Avalanche'!H242,'Calc Snowball'!H242,'Calc Cashflow'!H242)</f>
        <v/>
      </c>
      <c r="L236" s="65">
        <f>CHOOSE(Plan!$K$5,'Calc Smart'!I242,'Calc Avalanche'!I242,'Calc Snowball'!I242,'Calc Cashflow'!I242)</f>
        <v/>
      </c>
      <c r="M236" s="65">
        <f>CHOOSE(Plan!$K$5,'Calc Smart'!J242,'Calc Avalanche'!J242,'Calc Snowball'!J242,'Calc Cashflow'!J242)</f>
        <v/>
      </c>
      <c r="N236" s="65">
        <f>CHOOSE(Plan!$K$5,'Calc Smart'!K242,'Calc Avalanche'!K242,'Calc Snowball'!K242,'Calc Cashflow'!K242)</f>
        <v/>
      </c>
      <c r="O236" s="65">
        <f>CHOOSE(Plan!$K$5,'Calc Smart'!L242,'Calc Avalanche'!L242,'Calc Snowball'!L242,'Calc Cashflow'!L242)</f>
        <v/>
      </c>
      <c r="P236" s="65">
        <f>CHOOSE(Plan!$K$5,'Calc Smart'!M242,'Calc Avalanche'!M242,'Calc Snowball'!M242,'Calc Cashflow'!M242)</f>
        <v/>
      </c>
      <c r="Q236" s="65">
        <f>CHOOSE(Plan!$K$5,'Calc Smart'!N242,'Calc Avalanche'!N242,'Calc Snowball'!N242,'Calc Cashflow'!N242)</f>
        <v/>
      </c>
    </row>
    <row r="237">
      <c r="B237" s="66">
        <f>EDATE(Plan!$C$6,231)</f>
        <v/>
      </c>
      <c r="C237" s="32">
        <f>CHOOSE(Plan!$K$5,'Calc Smart'!AE243,'Calc Avalanche'!AE243,'Calc Snowball'!AE243,'Calc Cashflow'!AE243)</f>
        <v/>
      </c>
      <c r="D237" s="32">
        <f>CHOOSE(Plan!$K$5,'Calc Smart'!AD243,'Calc Avalanche'!AD243,'Calc Snowball'!AD243,'Calc Cashflow'!AD243)</f>
        <v/>
      </c>
      <c r="E237" s="43">
        <f>CHOOSE(Plan!$K$5,COUNTIF('Calc Smart'!C243:N243,"&gt;0"),COUNTIF('Calc Avalanche'!C243:N243,"&gt;0"),COUNTIF('Calc Snowball'!C243:N243,"&gt;0"),COUNTIF('Calc Cashflow'!C243:N243,"&gt;0"))</f>
        <v/>
      </c>
      <c r="F237" s="67">
        <f>CHOOSE(Plan!$K$5,'Calc Smart'!C243,'Calc Avalanche'!C243,'Calc Snowball'!C243,'Calc Cashflow'!C243)</f>
        <v/>
      </c>
      <c r="G237" s="67">
        <f>CHOOSE(Plan!$K$5,'Calc Smart'!D243,'Calc Avalanche'!D243,'Calc Snowball'!D243,'Calc Cashflow'!D243)</f>
        <v/>
      </c>
      <c r="H237" s="67">
        <f>CHOOSE(Plan!$K$5,'Calc Smart'!E243,'Calc Avalanche'!E243,'Calc Snowball'!E243,'Calc Cashflow'!E243)</f>
        <v/>
      </c>
      <c r="I237" s="67">
        <f>CHOOSE(Plan!$K$5,'Calc Smart'!F243,'Calc Avalanche'!F243,'Calc Snowball'!F243,'Calc Cashflow'!F243)</f>
        <v/>
      </c>
      <c r="J237" s="67">
        <f>CHOOSE(Plan!$K$5,'Calc Smart'!G243,'Calc Avalanche'!G243,'Calc Snowball'!G243,'Calc Cashflow'!G243)</f>
        <v/>
      </c>
      <c r="K237" s="67">
        <f>CHOOSE(Plan!$K$5,'Calc Smart'!H243,'Calc Avalanche'!H243,'Calc Snowball'!H243,'Calc Cashflow'!H243)</f>
        <v/>
      </c>
      <c r="L237" s="67">
        <f>CHOOSE(Plan!$K$5,'Calc Smart'!I243,'Calc Avalanche'!I243,'Calc Snowball'!I243,'Calc Cashflow'!I243)</f>
        <v/>
      </c>
      <c r="M237" s="67">
        <f>CHOOSE(Plan!$K$5,'Calc Smart'!J243,'Calc Avalanche'!J243,'Calc Snowball'!J243,'Calc Cashflow'!J243)</f>
        <v/>
      </c>
      <c r="N237" s="67">
        <f>CHOOSE(Plan!$K$5,'Calc Smart'!K243,'Calc Avalanche'!K243,'Calc Snowball'!K243,'Calc Cashflow'!K243)</f>
        <v/>
      </c>
      <c r="O237" s="67">
        <f>CHOOSE(Plan!$K$5,'Calc Smart'!L243,'Calc Avalanche'!L243,'Calc Snowball'!L243,'Calc Cashflow'!L243)</f>
        <v/>
      </c>
      <c r="P237" s="67">
        <f>CHOOSE(Plan!$K$5,'Calc Smart'!M243,'Calc Avalanche'!M243,'Calc Snowball'!M243,'Calc Cashflow'!M243)</f>
        <v/>
      </c>
      <c r="Q237" s="67">
        <f>CHOOSE(Plan!$K$5,'Calc Smart'!N243,'Calc Avalanche'!N243,'Calc Snowball'!N243,'Calc Cashflow'!N243)</f>
        <v/>
      </c>
    </row>
    <row r="238">
      <c r="B238" s="64">
        <f>EDATE(Plan!$C$6,232)</f>
        <v/>
      </c>
      <c r="C238" s="31">
        <f>CHOOSE(Plan!$K$5,'Calc Smart'!AE244,'Calc Avalanche'!AE244,'Calc Snowball'!AE244,'Calc Cashflow'!AE244)</f>
        <v/>
      </c>
      <c r="D238" s="31">
        <f>CHOOSE(Plan!$K$5,'Calc Smart'!AD244,'Calc Avalanche'!AD244,'Calc Snowball'!AD244,'Calc Cashflow'!AD244)</f>
        <v/>
      </c>
      <c r="E238" s="40">
        <f>CHOOSE(Plan!$K$5,COUNTIF('Calc Smart'!C244:N244,"&gt;0"),COUNTIF('Calc Avalanche'!C244:N244,"&gt;0"),COUNTIF('Calc Snowball'!C244:N244,"&gt;0"),COUNTIF('Calc Cashflow'!C244:N244,"&gt;0"))</f>
        <v/>
      </c>
      <c r="F238" s="65">
        <f>CHOOSE(Plan!$K$5,'Calc Smart'!C244,'Calc Avalanche'!C244,'Calc Snowball'!C244,'Calc Cashflow'!C244)</f>
        <v/>
      </c>
      <c r="G238" s="65">
        <f>CHOOSE(Plan!$K$5,'Calc Smart'!D244,'Calc Avalanche'!D244,'Calc Snowball'!D244,'Calc Cashflow'!D244)</f>
        <v/>
      </c>
      <c r="H238" s="65">
        <f>CHOOSE(Plan!$K$5,'Calc Smart'!E244,'Calc Avalanche'!E244,'Calc Snowball'!E244,'Calc Cashflow'!E244)</f>
        <v/>
      </c>
      <c r="I238" s="65">
        <f>CHOOSE(Plan!$K$5,'Calc Smart'!F244,'Calc Avalanche'!F244,'Calc Snowball'!F244,'Calc Cashflow'!F244)</f>
        <v/>
      </c>
      <c r="J238" s="65">
        <f>CHOOSE(Plan!$K$5,'Calc Smart'!G244,'Calc Avalanche'!G244,'Calc Snowball'!G244,'Calc Cashflow'!G244)</f>
        <v/>
      </c>
      <c r="K238" s="65">
        <f>CHOOSE(Plan!$K$5,'Calc Smart'!H244,'Calc Avalanche'!H244,'Calc Snowball'!H244,'Calc Cashflow'!H244)</f>
        <v/>
      </c>
      <c r="L238" s="65">
        <f>CHOOSE(Plan!$K$5,'Calc Smart'!I244,'Calc Avalanche'!I244,'Calc Snowball'!I244,'Calc Cashflow'!I244)</f>
        <v/>
      </c>
      <c r="M238" s="65">
        <f>CHOOSE(Plan!$K$5,'Calc Smart'!J244,'Calc Avalanche'!J244,'Calc Snowball'!J244,'Calc Cashflow'!J244)</f>
        <v/>
      </c>
      <c r="N238" s="65">
        <f>CHOOSE(Plan!$K$5,'Calc Smart'!K244,'Calc Avalanche'!K244,'Calc Snowball'!K244,'Calc Cashflow'!K244)</f>
        <v/>
      </c>
      <c r="O238" s="65">
        <f>CHOOSE(Plan!$K$5,'Calc Smart'!L244,'Calc Avalanche'!L244,'Calc Snowball'!L244,'Calc Cashflow'!L244)</f>
        <v/>
      </c>
      <c r="P238" s="65">
        <f>CHOOSE(Plan!$K$5,'Calc Smart'!M244,'Calc Avalanche'!M244,'Calc Snowball'!M244,'Calc Cashflow'!M244)</f>
        <v/>
      </c>
      <c r="Q238" s="65">
        <f>CHOOSE(Plan!$K$5,'Calc Smart'!N244,'Calc Avalanche'!N244,'Calc Snowball'!N244,'Calc Cashflow'!N244)</f>
        <v/>
      </c>
    </row>
    <row r="239">
      <c r="B239" s="66">
        <f>EDATE(Plan!$C$6,233)</f>
        <v/>
      </c>
      <c r="C239" s="32">
        <f>CHOOSE(Plan!$K$5,'Calc Smart'!AE245,'Calc Avalanche'!AE245,'Calc Snowball'!AE245,'Calc Cashflow'!AE245)</f>
        <v/>
      </c>
      <c r="D239" s="32">
        <f>CHOOSE(Plan!$K$5,'Calc Smart'!AD245,'Calc Avalanche'!AD245,'Calc Snowball'!AD245,'Calc Cashflow'!AD245)</f>
        <v/>
      </c>
      <c r="E239" s="43">
        <f>CHOOSE(Plan!$K$5,COUNTIF('Calc Smart'!C245:N245,"&gt;0"),COUNTIF('Calc Avalanche'!C245:N245,"&gt;0"),COUNTIF('Calc Snowball'!C245:N245,"&gt;0"),COUNTIF('Calc Cashflow'!C245:N245,"&gt;0"))</f>
        <v/>
      </c>
      <c r="F239" s="67">
        <f>CHOOSE(Plan!$K$5,'Calc Smart'!C245,'Calc Avalanche'!C245,'Calc Snowball'!C245,'Calc Cashflow'!C245)</f>
        <v/>
      </c>
      <c r="G239" s="67">
        <f>CHOOSE(Plan!$K$5,'Calc Smart'!D245,'Calc Avalanche'!D245,'Calc Snowball'!D245,'Calc Cashflow'!D245)</f>
        <v/>
      </c>
      <c r="H239" s="67">
        <f>CHOOSE(Plan!$K$5,'Calc Smart'!E245,'Calc Avalanche'!E245,'Calc Snowball'!E245,'Calc Cashflow'!E245)</f>
        <v/>
      </c>
      <c r="I239" s="67">
        <f>CHOOSE(Plan!$K$5,'Calc Smart'!F245,'Calc Avalanche'!F245,'Calc Snowball'!F245,'Calc Cashflow'!F245)</f>
        <v/>
      </c>
      <c r="J239" s="67">
        <f>CHOOSE(Plan!$K$5,'Calc Smart'!G245,'Calc Avalanche'!G245,'Calc Snowball'!G245,'Calc Cashflow'!G245)</f>
        <v/>
      </c>
      <c r="K239" s="67">
        <f>CHOOSE(Plan!$K$5,'Calc Smart'!H245,'Calc Avalanche'!H245,'Calc Snowball'!H245,'Calc Cashflow'!H245)</f>
        <v/>
      </c>
      <c r="L239" s="67">
        <f>CHOOSE(Plan!$K$5,'Calc Smart'!I245,'Calc Avalanche'!I245,'Calc Snowball'!I245,'Calc Cashflow'!I245)</f>
        <v/>
      </c>
      <c r="M239" s="67">
        <f>CHOOSE(Plan!$K$5,'Calc Smart'!J245,'Calc Avalanche'!J245,'Calc Snowball'!J245,'Calc Cashflow'!J245)</f>
        <v/>
      </c>
      <c r="N239" s="67">
        <f>CHOOSE(Plan!$K$5,'Calc Smart'!K245,'Calc Avalanche'!K245,'Calc Snowball'!K245,'Calc Cashflow'!K245)</f>
        <v/>
      </c>
      <c r="O239" s="67">
        <f>CHOOSE(Plan!$K$5,'Calc Smart'!L245,'Calc Avalanche'!L245,'Calc Snowball'!L245,'Calc Cashflow'!L245)</f>
        <v/>
      </c>
      <c r="P239" s="67">
        <f>CHOOSE(Plan!$K$5,'Calc Smart'!M245,'Calc Avalanche'!M245,'Calc Snowball'!M245,'Calc Cashflow'!M245)</f>
        <v/>
      </c>
      <c r="Q239" s="67">
        <f>CHOOSE(Plan!$K$5,'Calc Smart'!N245,'Calc Avalanche'!N245,'Calc Snowball'!N245,'Calc Cashflow'!N245)</f>
        <v/>
      </c>
    </row>
    <row r="240">
      <c r="B240" s="64">
        <f>EDATE(Plan!$C$6,234)</f>
        <v/>
      </c>
      <c r="C240" s="31">
        <f>CHOOSE(Plan!$K$5,'Calc Smart'!AE246,'Calc Avalanche'!AE246,'Calc Snowball'!AE246,'Calc Cashflow'!AE246)</f>
        <v/>
      </c>
      <c r="D240" s="31">
        <f>CHOOSE(Plan!$K$5,'Calc Smart'!AD246,'Calc Avalanche'!AD246,'Calc Snowball'!AD246,'Calc Cashflow'!AD246)</f>
        <v/>
      </c>
      <c r="E240" s="40">
        <f>CHOOSE(Plan!$K$5,COUNTIF('Calc Smart'!C246:N246,"&gt;0"),COUNTIF('Calc Avalanche'!C246:N246,"&gt;0"),COUNTIF('Calc Snowball'!C246:N246,"&gt;0"),COUNTIF('Calc Cashflow'!C246:N246,"&gt;0"))</f>
        <v/>
      </c>
      <c r="F240" s="65">
        <f>CHOOSE(Plan!$K$5,'Calc Smart'!C246,'Calc Avalanche'!C246,'Calc Snowball'!C246,'Calc Cashflow'!C246)</f>
        <v/>
      </c>
      <c r="G240" s="65">
        <f>CHOOSE(Plan!$K$5,'Calc Smart'!D246,'Calc Avalanche'!D246,'Calc Snowball'!D246,'Calc Cashflow'!D246)</f>
        <v/>
      </c>
      <c r="H240" s="65">
        <f>CHOOSE(Plan!$K$5,'Calc Smart'!E246,'Calc Avalanche'!E246,'Calc Snowball'!E246,'Calc Cashflow'!E246)</f>
        <v/>
      </c>
      <c r="I240" s="65">
        <f>CHOOSE(Plan!$K$5,'Calc Smart'!F246,'Calc Avalanche'!F246,'Calc Snowball'!F246,'Calc Cashflow'!F246)</f>
        <v/>
      </c>
      <c r="J240" s="65">
        <f>CHOOSE(Plan!$K$5,'Calc Smart'!G246,'Calc Avalanche'!G246,'Calc Snowball'!G246,'Calc Cashflow'!G246)</f>
        <v/>
      </c>
      <c r="K240" s="65">
        <f>CHOOSE(Plan!$K$5,'Calc Smart'!H246,'Calc Avalanche'!H246,'Calc Snowball'!H246,'Calc Cashflow'!H246)</f>
        <v/>
      </c>
      <c r="L240" s="65">
        <f>CHOOSE(Plan!$K$5,'Calc Smart'!I246,'Calc Avalanche'!I246,'Calc Snowball'!I246,'Calc Cashflow'!I246)</f>
        <v/>
      </c>
      <c r="M240" s="65">
        <f>CHOOSE(Plan!$K$5,'Calc Smart'!J246,'Calc Avalanche'!J246,'Calc Snowball'!J246,'Calc Cashflow'!J246)</f>
        <v/>
      </c>
      <c r="N240" s="65">
        <f>CHOOSE(Plan!$K$5,'Calc Smart'!K246,'Calc Avalanche'!K246,'Calc Snowball'!K246,'Calc Cashflow'!K246)</f>
        <v/>
      </c>
      <c r="O240" s="65">
        <f>CHOOSE(Plan!$K$5,'Calc Smart'!L246,'Calc Avalanche'!L246,'Calc Snowball'!L246,'Calc Cashflow'!L246)</f>
        <v/>
      </c>
      <c r="P240" s="65">
        <f>CHOOSE(Plan!$K$5,'Calc Smart'!M246,'Calc Avalanche'!M246,'Calc Snowball'!M246,'Calc Cashflow'!M246)</f>
        <v/>
      </c>
      <c r="Q240" s="65">
        <f>CHOOSE(Plan!$K$5,'Calc Smart'!N246,'Calc Avalanche'!N246,'Calc Snowball'!N246,'Calc Cashflow'!N246)</f>
        <v/>
      </c>
    </row>
    <row r="241">
      <c r="B241" s="66">
        <f>EDATE(Plan!$C$6,235)</f>
        <v/>
      </c>
      <c r="C241" s="32">
        <f>CHOOSE(Plan!$K$5,'Calc Smart'!AE247,'Calc Avalanche'!AE247,'Calc Snowball'!AE247,'Calc Cashflow'!AE247)</f>
        <v/>
      </c>
      <c r="D241" s="32">
        <f>CHOOSE(Plan!$K$5,'Calc Smart'!AD247,'Calc Avalanche'!AD247,'Calc Snowball'!AD247,'Calc Cashflow'!AD247)</f>
        <v/>
      </c>
      <c r="E241" s="43">
        <f>CHOOSE(Plan!$K$5,COUNTIF('Calc Smart'!C247:N247,"&gt;0"),COUNTIF('Calc Avalanche'!C247:N247,"&gt;0"),COUNTIF('Calc Snowball'!C247:N247,"&gt;0"),COUNTIF('Calc Cashflow'!C247:N247,"&gt;0"))</f>
        <v/>
      </c>
      <c r="F241" s="67">
        <f>CHOOSE(Plan!$K$5,'Calc Smart'!C247,'Calc Avalanche'!C247,'Calc Snowball'!C247,'Calc Cashflow'!C247)</f>
        <v/>
      </c>
      <c r="G241" s="67">
        <f>CHOOSE(Plan!$K$5,'Calc Smart'!D247,'Calc Avalanche'!D247,'Calc Snowball'!D247,'Calc Cashflow'!D247)</f>
        <v/>
      </c>
      <c r="H241" s="67">
        <f>CHOOSE(Plan!$K$5,'Calc Smart'!E247,'Calc Avalanche'!E247,'Calc Snowball'!E247,'Calc Cashflow'!E247)</f>
        <v/>
      </c>
      <c r="I241" s="67">
        <f>CHOOSE(Plan!$K$5,'Calc Smart'!F247,'Calc Avalanche'!F247,'Calc Snowball'!F247,'Calc Cashflow'!F247)</f>
        <v/>
      </c>
      <c r="J241" s="67">
        <f>CHOOSE(Plan!$K$5,'Calc Smart'!G247,'Calc Avalanche'!G247,'Calc Snowball'!G247,'Calc Cashflow'!G247)</f>
        <v/>
      </c>
      <c r="K241" s="67">
        <f>CHOOSE(Plan!$K$5,'Calc Smart'!H247,'Calc Avalanche'!H247,'Calc Snowball'!H247,'Calc Cashflow'!H247)</f>
        <v/>
      </c>
      <c r="L241" s="67">
        <f>CHOOSE(Plan!$K$5,'Calc Smart'!I247,'Calc Avalanche'!I247,'Calc Snowball'!I247,'Calc Cashflow'!I247)</f>
        <v/>
      </c>
      <c r="M241" s="67">
        <f>CHOOSE(Plan!$K$5,'Calc Smart'!J247,'Calc Avalanche'!J247,'Calc Snowball'!J247,'Calc Cashflow'!J247)</f>
        <v/>
      </c>
      <c r="N241" s="67">
        <f>CHOOSE(Plan!$K$5,'Calc Smart'!K247,'Calc Avalanche'!K247,'Calc Snowball'!K247,'Calc Cashflow'!K247)</f>
        <v/>
      </c>
      <c r="O241" s="67">
        <f>CHOOSE(Plan!$K$5,'Calc Smart'!L247,'Calc Avalanche'!L247,'Calc Snowball'!L247,'Calc Cashflow'!L247)</f>
        <v/>
      </c>
      <c r="P241" s="67">
        <f>CHOOSE(Plan!$K$5,'Calc Smart'!M247,'Calc Avalanche'!M247,'Calc Snowball'!M247,'Calc Cashflow'!M247)</f>
        <v/>
      </c>
      <c r="Q241" s="67">
        <f>CHOOSE(Plan!$K$5,'Calc Smart'!N247,'Calc Avalanche'!N247,'Calc Snowball'!N247,'Calc Cashflow'!N247)</f>
        <v/>
      </c>
    </row>
    <row r="242">
      <c r="B242" s="64">
        <f>EDATE(Plan!$C$6,236)</f>
        <v/>
      </c>
      <c r="C242" s="31">
        <f>CHOOSE(Plan!$K$5,'Calc Smart'!AE248,'Calc Avalanche'!AE248,'Calc Snowball'!AE248,'Calc Cashflow'!AE248)</f>
        <v/>
      </c>
      <c r="D242" s="31">
        <f>CHOOSE(Plan!$K$5,'Calc Smart'!AD248,'Calc Avalanche'!AD248,'Calc Snowball'!AD248,'Calc Cashflow'!AD248)</f>
        <v/>
      </c>
      <c r="E242" s="40">
        <f>CHOOSE(Plan!$K$5,COUNTIF('Calc Smart'!C248:N248,"&gt;0"),COUNTIF('Calc Avalanche'!C248:N248,"&gt;0"),COUNTIF('Calc Snowball'!C248:N248,"&gt;0"),COUNTIF('Calc Cashflow'!C248:N248,"&gt;0"))</f>
        <v/>
      </c>
      <c r="F242" s="65">
        <f>CHOOSE(Plan!$K$5,'Calc Smart'!C248,'Calc Avalanche'!C248,'Calc Snowball'!C248,'Calc Cashflow'!C248)</f>
        <v/>
      </c>
      <c r="G242" s="65">
        <f>CHOOSE(Plan!$K$5,'Calc Smart'!D248,'Calc Avalanche'!D248,'Calc Snowball'!D248,'Calc Cashflow'!D248)</f>
        <v/>
      </c>
      <c r="H242" s="65">
        <f>CHOOSE(Plan!$K$5,'Calc Smart'!E248,'Calc Avalanche'!E248,'Calc Snowball'!E248,'Calc Cashflow'!E248)</f>
        <v/>
      </c>
      <c r="I242" s="65">
        <f>CHOOSE(Plan!$K$5,'Calc Smart'!F248,'Calc Avalanche'!F248,'Calc Snowball'!F248,'Calc Cashflow'!F248)</f>
        <v/>
      </c>
      <c r="J242" s="65">
        <f>CHOOSE(Plan!$K$5,'Calc Smart'!G248,'Calc Avalanche'!G248,'Calc Snowball'!G248,'Calc Cashflow'!G248)</f>
        <v/>
      </c>
      <c r="K242" s="65">
        <f>CHOOSE(Plan!$K$5,'Calc Smart'!H248,'Calc Avalanche'!H248,'Calc Snowball'!H248,'Calc Cashflow'!H248)</f>
        <v/>
      </c>
      <c r="L242" s="65">
        <f>CHOOSE(Plan!$K$5,'Calc Smart'!I248,'Calc Avalanche'!I248,'Calc Snowball'!I248,'Calc Cashflow'!I248)</f>
        <v/>
      </c>
      <c r="M242" s="65">
        <f>CHOOSE(Plan!$K$5,'Calc Smart'!J248,'Calc Avalanche'!J248,'Calc Snowball'!J248,'Calc Cashflow'!J248)</f>
        <v/>
      </c>
      <c r="N242" s="65">
        <f>CHOOSE(Plan!$K$5,'Calc Smart'!K248,'Calc Avalanche'!K248,'Calc Snowball'!K248,'Calc Cashflow'!K248)</f>
        <v/>
      </c>
      <c r="O242" s="65">
        <f>CHOOSE(Plan!$K$5,'Calc Smart'!L248,'Calc Avalanche'!L248,'Calc Snowball'!L248,'Calc Cashflow'!L248)</f>
        <v/>
      </c>
      <c r="P242" s="65">
        <f>CHOOSE(Plan!$K$5,'Calc Smart'!M248,'Calc Avalanche'!M248,'Calc Snowball'!M248,'Calc Cashflow'!M248)</f>
        <v/>
      </c>
      <c r="Q242" s="65">
        <f>CHOOSE(Plan!$K$5,'Calc Smart'!N248,'Calc Avalanche'!N248,'Calc Snowball'!N248,'Calc Cashflow'!N248)</f>
        <v/>
      </c>
    </row>
    <row r="243">
      <c r="B243" s="66">
        <f>EDATE(Plan!$C$6,237)</f>
        <v/>
      </c>
      <c r="C243" s="32">
        <f>CHOOSE(Plan!$K$5,'Calc Smart'!AE249,'Calc Avalanche'!AE249,'Calc Snowball'!AE249,'Calc Cashflow'!AE249)</f>
        <v/>
      </c>
      <c r="D243" s="32">
        <f>CHOOSE(Plan!$K$5,'Calc Smart'!AD249,'Calc Avalanche'!AD249,'Calc Snowball'!AD249,'Calc Cashflow'!AD249)</f>
        <v/>
      </c>
      <c r="E243" s="43">
        <f>CHOOSE(Plan!$K$5,COUNTIF('Calc Smart'!C249:N249,"&gt;0"),COUNTIF('Calc Avalanche'!C249:N249,"&gt;0"),COUNTIF('Calc Snowball'!C249:N249,"&gt;0"),COUNTIF('Calc Cashflow'!C249:N249,"&gt;0"))</f>
        <v/>
      </c>
      <c r="F243" s="67">
        <f>CHOOSE(Plan!$K$5,'Calc Smart'!C249,'Calc Avalanche'!C249,'Calc Snowball'!C249,'Calc Cashflow'!C249)</f>
        <v/>
      </c>
      <c r="G243" s="67">
        <f>CHOOSE(Plan!$K$5,'Calc Smart'!D249,'Calc Avalanche'!D249,'Calc Snowball'!D249,'Calc Cashflow'!D249)</f>
        <v/>
      </c>
      <c r="H243" s="67">
        <f>CHOOSE(Plan!$K$5,'Calc Smart'!E249,'Calc Avalanche'!E249,'Calc Snowball'!E249,'Calc Cashflow'!E249)</f>
        <v/>
      </c>
      <c r="I243" s="67">
        <f>CHOOSE(Plan!$K$5,'Calc Smart'!F249,'Calc Avalanche'!F249,'Calc Snowball'!F249,'Calc Cashflow'!F249)</f>
        <v/>
      </c>
      <c r="J243" s="67">
        <f>CHOOSE(Plan!$K$5,'Calc Smart'!G249,'Calc Avalanche'!G249,'Calc Snowball'!G249,'Calc Cashflow'!G249)</f>
        <v/>
      </c>
      <c r="K243" s="67">
        <f>CHOOSE(Plan!$K$5,'Calc Smart'!H249,'Calc Avalanche'!H249,'Calc Snowball'!H249,'Calc Cashflow'!H249)</f>
        <v/>
      </c>
      <c r="L243" s="67">
        <f>CHOOSE(Plan!$K$5,'Calc Smart'!I249,'Calc Avalanche'!I249,'Calc Snowball'!I249,'Calc Cashflow'!I249)</f>
        <v/>
      </c>
      <c r="M243" s="67">
        <f>CHOOSE(Plan!$K$5,'Calc Smart'!J249,'Calc Avalanche'!J249,'Calc Snowball'!J249,'Calc Cashflow'!J249)</f>
        <v/>
      </c>
      <c r="N243" s="67">
        <f>CHOOSE(Plan!$K$5,'Calc Smart'!K249,'Calc Avalanche'!K249,'Calc Snowball'!K249,'Calc Cashflow'!K249)</f>
        <v/>
      </c>
      <c r="O243" s="67">
        <f>CHOOSE(Plan!$K$5,'Calc Smart'!L249,'Calc Avalanche'!L249,'Calc Snowball'!L249,'Calc Cashflow'!L249)</f>
        <v/>
      </c>
      <c r="P243" s="67">
        <f>CHOOSE(Plan!$K$5,'Calc Smart'!M249,'Calc Avalanche'!M249,'Calc Snowball'!M249,'Calc Cashflow'!M249)</f>
        <v/>
      </c>
      <c r="Q243" s="67">
        <f>CHOOSE(Plan!$K$5,'Calc Smart'!N249,'Calc Avalanche'!N249,'Calc Snowball'!N249,'Calc Cashflow'!N249)</f>
        <v/>
      </c>
    </row>
    <row r="244">
      <c r="B244" s="64">
        <f>EDATE(Plan!$C$6,238)</f>
        <v/>
      </c>
      <c r="C244" s="31">
        <f>CHOOSE(Plan!$K$5,'Calc Smart'!AE250,'Calc Avalanche'!AE250,'Calc Snowball'!AE250,'Calc Cashflow'!AE250)</f>
        <v/>
      </c>
      <c r="D244" s="31">
        <f>CHOOSE(Plan!$K$5,'Calc Smart'!AD250,'Calc Avalanche'!AD250,'Calc Snowball'!AD250,'Calc Cashflow'!AD250)</f>
        <v/>
      </c>
      <c r="E244" s="40">
        <f>CHOOSE(Plan!$K$5,COUNTIF('Calc Smart'!C250:N250,"&gt;0"),COUNTIF('Calc Avalanche'!C250:N250,"&gt;0"),COUNTIF('Calc Snowball'!C250:N250,"&gt;0"),COUNTIF('Calc Cashflow'!C250:N250,"&gt;0"))</f>
        <v/>
      </c>
      <c r="F244" s="65">
        <f>CHOOSE(Plan!$K$5,'Calc Smart'!C250,'Calc Avalanche'!C250,'Calc Snowball'!C250,'Calc Cashflow'!C250)</f>
        <v/>
      </c>
      <c r="G244" s="65">
        <f>CHOOSE(Plan!$K$5,'Calc Smart'!D250,'Calc Avalanche'!D250,'Calc Snowball'!D250,'Calc Cashflow'!D250)</f>
        <v/>
      </c>
      <c r="H244" s="65">
        <f>CHOOSE(Plan!$K$5,'Calc Smart'!E250,'Calc Avalanche'!E250,'Calc Snowball'!E250,'Calc Cashflow'!E250)</f>
        <v/>
      </c>
      <c r="I244" s="65">
        <f>CHOOSE(Plan!$K$5,'Calc Smart'!F250,'Calc Avalanche'!F250,'Calc Snowball'!F250,'Calc Cashflow'!F250)</f>
        <v/>
      </c>
      <c r="J244" s="65">
        <f>CHOOSE(Plan!$K$5,'Calc Smart'!G250,'Calc Avalanche'!G250,'Calc Snowball'!G250,'Calc Cashflow'!G250)</f>
        <v/>
      </c>
      <c r="K244" s="65">
        <f>CHOOSE(Plan!$K$5,'Calc Smart'!H250,'Calc Avalanche'!H250,'Calc Snowball'!H250,'Calc Cashflow'!H250)</f>
        <v/>
      </c>
      <c r="L244" s="65">
        <f>CHOOSE(Plan!$K$5,'Calc Smart'!I250,'Calc Avalanche'!I250,'Calc Snowball'!I250,'Calc Cashflow'!I250)</f>
        <v/>
      </c>
      <c r="M244" s="65">
        <f>CHOOSE(Plan!$K$5,'Calc Smart'!J250,'Calc Avalanche'!J250,'Calc Snowball'!J250,'Calc Cashflow'!J250)</f>
        <v/>
      </c>
      <c r="N244" s="65">
        <f>CHOOSE(Plan!$K$5,'Calc Smart'!K250,'Calc Avalanche'!K250,'Calc Snowball'!K250,'Calc Cashflow'!K250)</f>
        <v/>
      </c>
      <c r="O244" s="65">
        <f>CHOOSE(Plan!$K$5,'Calc Smart'!L250,'Calc Avalanche'!L250,'Calc Snowball'!L250,'Calc Cashflow'!L250)</f>
        <v/>
      </c>
      <c r="P244" s="65">
        <f>CHOOSE(Plan!$K$5,'Calc Smart'!M250,'Calc Avalanche'!M250,'Calc Snowball'!M250,'Calc Cashflow'!M250)</f>
        <v/>
      </c>
      <c r="Q244" s="65">
        <f>CHOOSE(Plan!$K$5,'Calc Smart'!N250,'Calc Avalanche'!N250,'Calc Snowball'!N250,'Calc Cashflow'!N250)</f>
        <v/>
      </c>
    </row>
    <row r="245">
      <c r="B245" s="66">
        <f>EDATE(Plan!$C$6,239)</f>
        <v/>
      </c>
      <c r="C245" s="32">
        <f>CHOOSE(Plan!$K$5,'Calc Smart'!AE251,'Calc Avalanche'!AE251,'Calc Snowball'!AE251,'Calc Cashflow'!AE251)</f>
        <v/>
      </c>
      <c r="D245" s="32">
        <f>CHOOSE(Plan!$K$5,'Calc Smart'!AD251,'Calc Avalanche'!AD251,'Calc Snowball'!AD251,'Calc Cashflow'!AD251)</f>
        <v/>
      </c>
      <c r="E245" s="43">
        <f>CHOOSE(Plan!$K$5,COUNTIF('Calc Smart'!C251:N251,"&gt;0"),COUNTIF('Calc Avalanche'!C251:N251,"&gt;0"),COUNTIF('Calc Snowball'!C251:N251,"&gt;0"),COUNTIF('Calc Cashflow'!C251:N251,"&gt;0"))</f>
        <v/>
      </c>
      <c r="F245" s="67">
        <f>CHOOSE(Plan!$K$5,'Calc Smart'!C251,'Calc Avalanche'!C251,'Calc Snowball'!C251,'Calc Cashflow'!C251)</f>
        <v/>
      </c>
      <c r="G245" s="67">
        <f>CHOOSE(Plan!$K$5,'Calc Smart'!D251,'Calc Avalanche'!D251,'Calc Snowball'!D251,'Calc Cashflow'!D251)</f>
        <v/>
      </c>
      <c r="H245" s="67">
        <f>CHOOSE(Plan!$K$5,'Calc Smart'!E251,'Calc Avalanche'!E251,'Calc Snowball'!E251,'Calc Cashflow'!E251)</f>
        <v/>
      </c>
      <c r="I245" s="67">
        <f>CHOOSE(Plan!$K$5,'Calc Smart'!F251,'Calc Avalanche'!F251,'Calc Snowball'!F251,'Calc Cashflow'!F251)</f>
        <v/>
      </c>
      <c r="J245" s="67">
        <f>CHOOSE(Plan!$K$5,'Calc Smart'!G251,'Calc Avalanche'!G251,'Calc Snowball'!G251,'Calc Cashflow'!G251)</f>
        <v/>
      </c>
      <c r="K245" s="67">
        <f>CHOOSE(Plan!$K$5,'Calc Smart'!H251,'Calc Avalanche'!H251,'Calc Snowball'!H251,'Calc Cashflow'!H251)</f>
        <v/>
      </c>
      <c r="L245" s="67">
        <f>CHOOSE(Plan!$K$5,'Calc Smart'!I251,'Calc Avalanche'!I251,'Calc Snowball'!I251,'Calc Cashflow'!I251)</f>
        <v/>
      </c>
      <c r="M245" s="67">
        <f>CHOOSE(Plan!$K$5,'Calc Smart'!J251,'Calc Avalanche'!J251,'Calc Snowball'!J251,'Calc Cashflow'!J251)</f>
        <v/>
      </c>
      <c r="N245" s="67">
        <f>CHOOSE(Plan!$K$5,'Calc Smart'!K251,'Calc Avalanche'!K251,'Calc Snowball'!K251,'Calc Cashflow'!K251)</f>
        <v/>
      </c>
      <c r="O245" s="67">
        <f>CHOOSE(Plan!$K$5,'Calc Smart'!L251,'Calc Avalanche'!L251,'Calc Snowball'!L251,'Calc Cashflow'!L251)</f>
        <v/>
      </c>
      <c r="P245" s="67">
        <f>CHOOSE(Plan!$K$5,'Calc Smart'!M251,'Calc Avalanche'!M251,'Calc Snowball'!M251,'Calc Cashflow'!M251)</f>
        <v/>
      </c>
      <c r="Q245" s="67">
        <f>CHOOSE(Plan!$K$5,'Calc Smart'!N251,'Calc Avalanche'!N251,'Calc Snowball'!N251,'Calc Cashflow'!N251)</f>
        <v/>
      </c>
    </row>
    <row r="246">
      <c r="B246" s="64">
        <f>EDATE(Plan!$C$6,240)</f>
        <v/>
      </c>
      <c r="C246" s="31">
        <f>CHOOSE(Plan!$K$5,'Calc Smart'!AE252,'Calc Avalanche'!AE252,'Calc Snowball'!AE252,'Calc Cashflow'!AE252)</f>
        <v/>
      </c>
      <c r="D246" s="31">
        <f>CHOOSE(Plan!$K$5,'Calc Smart'!AD252,'Calc Avalanche'!AD252,'Calc Snowball'!AD252,'Calc Cashflow'!AD252)</f>
        <v/>
      </c>
      <c r="E246" s="40">
        <f>CHOOSE(Plan!$K$5,COUNTIF('Calc Smart'!C252:N252,"&gt;0"),COUNTIF('Calc Avalanche'!C252:N252,"&gt;0"),COUNTIF('Calc Snowball'!C252:N252,"&gt;0"),COUNTIF('Calc Cashflow'!C252:N252,"&gt;0"))</f>
        <v/>
      </c>
      <c r="F246" s="65">
        <f>CHOOSE(Plan!$K$5,'Calc Smart'!C252,'Calc Avalanche'!C252,'Calc Snowball'!C252,'Calc Cashflow'!C252)</f>
        <v/>
      </c>
      <c r="G246" s="65">
        <f>CHOOSE(Plan!$K$5,'Calc Smart'!D252,'Calc Avalanche'!D252,'Calc Snowball'!D252,'Calc Cashflow'!D252)</f>
        <v/>
      </c>
      <c r="H246" s="65">
        <f>CHOOSE(Plan!$K$5,'Calc Smart'!E252,'Calc Avalanche'!E252,'Calc Snowball'!E252,'Calc Cashflow'!E252)</f>
        <v/>
      </c>
      <c r="I246" s="65">
        <f>CHOOSE(Plan!$K$5,'Calc Smart'!F252,'Calc Avalanche'!F252,'Calc Snowball'!F252,'Calc Cashflow'!F252)</f>
        <v/>
      </c>
      <c r="J246" s="65">
        <f>CHOOSE(Plan!$K$5,'Calc Smart'!G252,'Calc Avalanche'!G252,'Calc Snowball'!G252,'Calc Cashflow'!G252)</f>
        <v/>
      </c>
      <c r="K246" s="65">
        <f>CHOOSE(Plan!$K$5,'Calc Smart'!H252,'Calc Avalanche'!H252,'Calc Snowball'!H252,'Calc Cashflow'!H252)</f>
        <v/>
      </c>
      <c r="L246" s="65">
        <f>CHOOSE(Plan!$K$5,'Calc Smart'!I252,'Calc Avalanche'!I252,'Calc Snowball'!I252,'Calc Cashflow'!I252)</f>
        <v/>
      </c>
      <c r="M246" s="65">
        <f>CHOOSE(Plan!$K$5,'Calc Smart'!J252,'Calc Avalanche'!J252,'Calc Snowball'!J252,'Calc Cashflow'!J252)</f>
        <v/>
      </c>
      <c r="N246" s="65">
        <f>CHOOSE(Plan!$K$5,'Calc Smart'!K252,'Calc Avalanche'!K252,'Calc Snowball'!K252,'Calc Cashflow'!K252)</f>
        <v/>
      </c>
      <c r="O246" s="65">
        <f>CHOOSE(Plan!$K$5,'Calc Smart'!L252,'Calc Avalanche'!L252,'Calc Snowball'!L252,'Calc Cashflow'!L252)</f>
        <v/>
      </c>
      <c r="P246" s="65">
        <f>CHOOSE(Plan!$K$5,'Calc Smart'!M252,'Calc Avalanche'!M252,'Calc Snowball'!M252,'Calc Cashflow'!M252)</f>
        <v/>
      </c>
      <c r="Q246" s="65">
        <f>CHOOSE(Plan!$K$5,'Calc Smart'!N252,'Calc Avalanche'!N252,'Calc Snowball'!N252,'Calc Cashflow'!N252)</f>
        <v/>
      </c>
    </row>
    <row r="247">
      <c r="B247" s="66">
        <f>EDATE(Plan!$C$6,241)</f>
        <v/>
      </c>
      <c r="C247" s="32">
        <f>CHOOSE(Plan!$K$5,'Calc Smart'!AE253,'Calc Avalanche'!AE253,'Calc Snowball'!AE253,'Calc Cashflow'!AE253)</f>
        <v/>
      </c>
      <c r="D247" s="32">
        <f>CHOOSE(Plan!$K$5,'Calc Smart'!AD253,'Calc Avalanche'!AD253,'Calc Snowball'!AD253,'Calc Cashflow'!AD253)</f>
        <v/>
      </c>
      <c r="E247" s="43">
        <f>CHOOSE(Plan!$K$5,COUNTIF('Calc Smart'!C253:N253,"&gt;0"),COUNTIF('Calc Avalanche'!C253:N253,"&gt;0"),COUNTIF('Calc Snowball'!C253:N253,"&gt;0"),COUNTIF('Calc Cashflow'!C253:N253,"&gt;0"))</f>
        <v/>
      </c>
      <c r="F247" s="67">
        <f>CHOOSE(Plan!$K$5,'Calc Smart'!C253,'Calc Avalanche'!C253,'Calc Snowball'!C253,'Calc Cashflow'!C253)</f>
        <v/>
      </c>
      <c r="G247" s="67">
        <f>CHOOSE(Plan!$K$5,'Calc Smart'!D253,'Calc Avalanche'!D253,'Calc Snowball'!D253,'Calc Cashflow'!D253)</f>
        <v/>
      </c>
      <c r="H247" s="67">
        <f>CHOOSE(Plan!$K$5,'Calc Smart'!E253,'Calc Avalanche'!E253,'Calc Snowball'!E253,'Calc Cashflow'!E253)</f>
        <v/>
      </c>
      <c r="I247" s="67">
        <f>CHOOSE(Plan!$K$5,'Calc Smart'!F253,'Calc Avalanche'!F253,'Calc Snowball'!F253,'Calc Cashflow'!F253)</f>
        <v/>
      </c>
      <c r="J247" s="67">
        <f>CHOOSE(Plan!$K$5,'Calc Smart'!G253,'Calc Avalanche'!G253,'Calc Snowball'!G253,'Calc Cashflow'!G253)</f>
        <v/>
      </c>
      <c r="K247" s="67">
        <f>CHOOSE(Plan!$K$5,'Calc Smart'!H253,'Calc Avalanche'!H253,'Calc Snowball'!H253,'Calc Cashflow'!H253)</f>
        <v/>
      </c>
      <c r="L247" s="67">
        <f>CHOOSE(Plan!$K$5,'Calc Smart'!I253,'Calc Avalanche'!I253,'Calc Snowball'!I253,'Calc Cashflow'!I253)</f>
        <v/>
      </c>
      <c r="M247" s="67">
        <f>CHOOSE(Plan!$K$5,'Calc Smart'!J253,'Calc Avalanche'!J253,'Calc Snowball'!J253,'Calc Cashflow'!J253)</f>
        <v/>
      </c>
      <c r="N247" s="67">
        <f>CHOOSE(Plan!$K$5,'Calc Smart'!K253,'Calc Avalanche'!K253,'Calc Snowball'!K253,'Calc Cashflow'!K253)</f>
        <v/>
      </c>
      <c r="O247" s="67">
        <f>CHOOSE(Plan!$K$5,'Calc Smart'!L253,'Calc Avalanche'!L253,'Calc Snowball'!L253,'Calc Cashflow'!L253)</f>
        <v/>
      </c>
      <c r="P247" s="67">
        <f>CHOOSE(Plan!$K$5,'Calc Smart'!M253,'Calc Avalanche'!M253,'Calc Snowball'!M253,'Calc Cashflow'!M253)</f>
        <v/>
      </c>
      <c r="Q247" s="67">
        <f>CHOOSE(Plan!$K$5,'Calc Smart'!N253,'Calc Avalanche'!N253,'Calc Snowball'!N253,'Calc Cashflow'!N253)</f>
        <v/>
      </c>
    </row>
    <row r="248">
      <c r="B248" s="64">
        <f>EDATE(Plan!$C$6,242)</f>
        <v/>
      </c>
      <c r="C248" s="31">
        <f>CHOOSE(Plan!$K$5,'Calc Smart'!AE254,'Calc Avalanche'!AE254,'Calc Snowball'!AE254,'Calc Cashflow'!AE254)</f>
        <v/>
      </c>
      <c r="D248" s="31">
        <f>CHOOSE(Plan!$K$5,'Calc Smart'!AD254,'Calc Avalanche'!AD254,'Calc Snowball'!AD254,'Calc Cashflow'!AD254)</f>
        <v/>
      </c>
      <c r="E248" s="40">
        <f>CHOOSE(Plan!$K$5,COUNTIF('Calc Smart'!C254:N254,"&gt;0"),COUNTIF('Calc Avalanche'!C254:N254,"&gt;0"),COUNTIF('Calc Snowball'!C254:N254,"&gt;0"),COUNTIF('Calc Cashflow'!C254:N254,"&gt;0"))</f>
        <v/>
      </c>
      <c r="F248" s="65">
        <f>CHOOSE(Plan!$K$5,'Calc Smart'!C254,'Calc Avalanche'!C254,'Calc Snowball'!C254,'Calc Cashflow'!C254)</f>
        <v/>
      </c>
      <c r="G248" s="65">
        <f>CHOOSE(Plan!$K$5,'Calc Smart'!D254,'Calc Avalanche'!D254,'Calc Snowball'!D254,'Calc Cashflow'!D254)</f>
        <v/>
      </c>
      <c r="H248" s="65">
        <f>CHOOSE(Plan!$K$5,'Calc Smart'!E254,'Calc Avalanche'!E254,'Calc Snowball'!E254,'Calc Cashflow'!E254)</f>
        <v/>
      </c>
      <c r="I248" s="65">
        <f>CHOOSE(Plan!$K$5,'Calc Smart'!F254,'Calc Avalanche'!F254,'Calc Snowball'!F254,'Calc Cashflow'!F254)</f>
        <v/>
      </c>
      <c r="J248" s="65">
        <f>CHOOSE(Plan!$K$5,'Calc Smart'!G254,'Calc Avalanche'!G254,'Calc Snowball'!G254,'Calc Cashflow'!G254)</f>
        <v/>
      </c>
      <c r="K248" s="65">
        <f>CHOOSE(Plan!$K$5,'Calc Smart'!H254,'Calc Avalanche'!H254,'Calc Snowball'!H254,'Calc Cashflow'!H254)</f>
        <v/>
      </c>
      <c r="L248" s="65">
        <f>CHOOSE(Plan!$K$5,'Calc Smart'!I254,'Calc Avalanche'!I254,'Calc Snowball'!I254,'Calc Cashflow'!I254)</f>
        <v/>
      </c>
      <c r="M248" s="65">
        <f>CHOOSE(Plan!$K$5,'Calc Smart'!J254,'Calc Avalanche'!J254,'Calc Snowball'!J254,'Calc Cashflow'!J254)</f>
        <v/>
      </c>
      <c r="N248" s="65">
        <f>CHOOSE(Plan!$K$5,'Calc Smart'!K254,'Calc Avalanche'!K254,'Calc Snowball'!K254,'Calc Cashflow'!K254)</f>
        <v/>
      </c>
      <c r="O248" s="65">
        <f>CHOOSE(Plan!$K$5,'Calc Smart'!L254,'Calc Avalanche'!L254,'Calc Snowball'!L254,'Calc Cashflow'!L254)</f>
        <v/>
      </c>
      <c r="P248" s="65">
        <f>CHOOSE(Plan!$K$5,'Calc Smart'!M254,'Calc Avalanche'!M254,'Calc Snowball'!M254,'Calc Cashflow'!M254)</f>
        <v/>
      </c>
      <c r="Q248" s="65">
        <f>CHOOSE(Plan!$K$5,'Calc Smart'!N254,'Calc Avalanche'!N254,'Calc Snowball'!N254,'Calc Cashflow'!N254)</f>
        <v/>
      </c>
    </row>
    <row r="249">
      <c r="B249" s="66">
        <f>EDATE(Plan!$C$6,243)</f>
        <v/>
      </c>
      <c r="C249" s="32">
        <f>CHOOSE(Plan!$K$5,'Calc Smart'!AE255,'Calc Avalanche'!AE255,'Calc Snowball'!AE255,'Calc Cashflow'!AE255)</f>
        <v/>
      </c>
      <c r="D249" s="32">
        <f>CHOOSE(Plan!$K$5,'Calc Smart'!AD255,'Calc Avalanche'!AD255,'Calc Snowball'!AD255,'Calc Cashflow'!AD255)</f>
        <v/>
      </c>
      <c r="E249" s="43">
        <f>CHOOSE(Plan!$K$5,COUNTIF('Calc Smart'!C255:N255,"&gt;0"),COUNTIF('Calc Avalanche'!C255:N255,"&gt;0"),COUNTIF('Calc Snowball'!C255:N255,"&gt;0"),COUNTIF('Calc Cashflow'!C255:N255,"&gt;0"))</f>
        <v/>
      </c>
      <c r="F249" s="67">
        <f>CHOOSE(Plan!$K$5,'Calc Smart'!C255,'Calc Avalanche'!C255,'Calc Snowball'!C255,'Calc Cashflow'!C255)</f>
        <v/>
      </c>
      <c r="G249" s="67">
        <f>CHOOSE(Plan!$K$5,'Calc Smart'!D255,'Calc Avalanche'!D255,'Calc Snowball'!D255,'Calc Cashflow'!D255)</f>
        <v/>
      </c>
      <c r="H249" s="67">
        <f>CHOOSE(Plan!$K$5,'Calc Smart'!E255,'Calc Avalanche'!E255,'Calc Snowball'!E255,'Calc Cashflow'!E255)</f>
        <v/>
      </c>
      <c r="I249" s="67">
        <f>CHOOSE(Plan!$K$5,'Calc Smart'!F255,'Calc Avalanche'!F255,'Calc Snowball'!F255,'Calc Cashflow'!F255)</f>
        <v/>
      </c>
      <c r="J249" s="67">
        <f>CHOOSE(Plan!$K$5,'Calc Smart'!G255,'Calc Avalanche'!G255,'Calc Snowball'!G255,'Calc Cashflow'!G255)</f>
        <v/>
      </c>
      <c r="K249" s="67">
        <f>CHOOSE(Plan!$K$5,'Calc Smart'!H255,'Calc Avalanche'!H255,'Calc Snowball'!H255,'Calc Cashflow'!H255)</f>
        <v/>
      </c>
      <c r="L249" s="67">
        <f>CHOOSE(Plan!$K$5,'Calc Smart'!I255,'Calc Avalanche'!I255,'Calc Snowball'!I255,'Calc Cashflow'!I255)</f>
        <v/>
      </c>
      <c r="M249" s="67">
        <f>CHOOSE(Plan!$K$5,'Calc Smart'!J255,'Calc Avalanche'!J255,'Calc Snowball'!J255,'Calc Cashflow'!J255)</f>
        <v/>
      </c>
      <c r="N249" s="67">
        <f>CHOOSE(Plan!$K$5,'Calc Smart'!K255,'Calc Avalanche'!K255,'Calc Snowball'!K255,'Calc Cashflow'!K255)</f>
        <v/>
      </c>
      <c r="O249" s="67">
        <f>CHOOSE(Plan!$K$5,'Calc Smart'!L255,'Calc Avalanche'!L255,'Calc Snowball'!L255,'Calc Cashflow'!L255)</f>
        <v/>
      </c>
      <c r="P249" s="67">
        <f>CHOOSE(Plan!$K$5,'Calc Smart'!M255,'Calc Avalanche'!M255,'Calc Snowball'!M255,'Calc Cashflow'!M255)</f>
        <v/>
      </c>
      <c r="Q249" s="67">
        <f>CHOOSE(Plan!$K$5,'Calc Smart'!N255,'Calc Avalanche'!N255,'Calc Snowball'!N255,'Calc Cashflow'!N255)</f>
        <v/>
      </c>
    </row>
    <row r="250">
      <c r="B250" s="64">
        <f>EDATE(Plan!$C$6,244)</f>
        <v/>
      </c>
      <c r="C250" s="31">
        <f>CHOOSE(Plan!$K$5,'Calc Smart'!AE256,'Calc Avalanche'!AE256,'Calc Snowball'!AE256,'Calc Cashflow'!AE256)</f>
        <v/>
      </c>
      <c r="D250" s="31">
        <f>CHOOSE(Plan!$K$5,'Calc Smart'!AD256,'Calc Avalanche'!AD256,'Calc Snowball'!AD256,'Calc Cashflow'!AD256)</f>
        <v/>
      </c>
      <c r="E250" s="40">
        <f>CHOOSE(Plan!$K$5,COUNTIF('Calc Smart'!C256:N256,"&gt;0"),COUNTIF('Calc Avalanche'!C256:N256,"&gt;0"),COUNTIF('Calc Snowball'!C256:N256,"&gt;0"),COUNTIF('Calc Cashflow'!C256:N256,"&gt;0"))</f>
        <v/>
      </c>
      <c r="F250" s="65">
        <f>CHOOSE(Plan!$K$5,'Calc Smart'!C256,'Calc Avalanche'!C256,'Calc Snowball'!C256,'Calc Cashflow'!C256)</f>
        <v/>
      </c>
      <c r="G250" s="65">
        <f>CHOOSE(Plan!$K$5,'Calc Smart'!D256,'Calc Avalanche'!D256,'Calc Snowball'!D256,'Calc Cashflow'!D256)</f>
        <v/>
      </c>
      <c r="H250" s="65">
        <f>CHOOSE(Plan!$K$5,'Calc Smart'!E256,'Calc Avalanche'!E256,'Calc Snowball'!E256,'Calc Cashflow'!E256)</f>
        <v/>
      </c>
      <c r="I250" s="65">
        <f>CHOOSE(Plan!$K$5,'Calc Smart'!F256,'Calc Avalanche'!F256,'Calc Snowball'!F256,'Calc Cashflow'!F256)</f>
        <v/>
      </c>
      <c r="J250" s="65">
        <f>CHOOSE(Plan!$K$5,'Calc Smart'!G256,'Calc Avalanche'!G256,'Calc Snowball'!G256,'Calc Cashflow'!G256)</f>
        <v/>
      </c>
      <c r="K250" s="65">
        <f>CHOOSE(Plan!$K$5,'Calc Smart'!H256,'Calc Avalanche'!H256,'Calc Snowball'!H256,'Calc Cashflow'!H256)</f>
        <v/>
      </c>
      <c r="L250" s="65">
        <f>CHOOSE(Plan!$K$5,'Calc Smart'!I256,'Calc Avalanche'!I256,'Calc Snowball'!I256,'Calc Cashflow'!I256)</f>
        <v/>
      </c>
      <c r="M250" s="65">
        <f>CHOOSE(Plan!$K$5,'Calc Smart'!J256,'Calc Avalanche'!J256,'Calc Snowball'!J256,'Calc Cashflow'!J256)</f>
        <v/>
      </c>
      <c r="N250" s="65">
        <f>CHOOSE(Plan!$K$5,'Calc Smart'!K256,'Calc Avalanche'!K256,'Calc Snowball'!K256,'Calc Cashflow'!K256)</f>
        <v/>
      </c>
      <c r="O250" s="65">
        <f>CHOOSE(Plan!$K$5,'Calc Smart'!L256,'Calc Avalanche'!L256,'Calc Snowball'!L256,'Calc Cashflow'!L256)</f>
        <v/>
      </c>
      <c r="P250" s="65">
        <f>CHOOSE(Plan!$K$5,'Calc Smart'!M256,'Calc Avalanche'!M256,'Calc Snowball'!M256,'Calc Cashflow'!M256)</f>
        <v/>
      </c>
      <c r="Q250" s="65">
        <f>CHOOSE(Plan!$K$5,'Calc Smart'!N256,'Calc Avalanche'!N256,'Calc Snowball'!N256,'Calc Cashflow'!N256)</f>
        <v/>
      </c>
    </row>
    <row r="251">
      <c r="B251" s="66">
        <f>EDATE(Plan!$C$6,245)</f>
        <v/>
      </c>
      <c r="C251" s="32">
        <f>CHOOSE(Plan!$K$5,'Calc Smart'!AE257,'Calc Avalanche'!AE257,'Calc Snowball'!AE257,'Calc Cashflow'!AE257)</f>
        <v/>
      </c>
      <c r="D251" s="32">
        <f>CHOOSE(Plan!$K$5,'Calc Smart'!AD257,'Calc Avalanche'!AD257,'Calc Snowball'!AD257,'Calc Cashflow'!AD257)</f>
        <v/>
      </c>
      <c r="E251" s="43">
        <f>CHOOSE(Plan!$K$5,COUNTIF('Calc Smart'!C257:N257,"&gt;0"),COUNTIF('Calc Avalanche'!C257:N257,"&gt;0"),COUNTIF('Calc Snowball'!C257:N257,"&gt;0"),COUNTIF('Calc Cashflow'!C257:N257,"&gt;0"))</f>
        <v/>
      </c>
      <c r="F251" s="67">
        <f>CHOOSE(Plan!$K$5,'Calc Smart'!C257,'Calc Avalanche'!C257,'Calc Snowball'!C257,'Calc Cashflow'!C257)</f>
        <v/>
      </c>
      <c r="G251" s="67">
        <f>CHOOSE(Plan!$K$5,'Calc Smart'!D257,'Calc Avalanche'!D257,'Calc Snowball'!D257,'Calc Cashflow'!D257)</f>
        <v/>
      </c>
      <c r="H251" s="67">
        <f>CHOOSE(Plan!$K$5,'Calc Smart'!E257,'Calc Avalanche'!E257,'Calc Snowball'!E257,'Calc Cashflow'!E257)</f>
        <v/>
      </c>
      <c r="I251" s="67">
        <f>CHOOSE(Plan!$K$5,'Calc Smart'!F257,'Calc Avalanche'!F257,'Calc Snowball'!F257,'Calc Cashflow'!F257)</f>
        <v/>
      </c>
      <c r="J251" s="67">
        <f>CHOOSE(Plan!$K$5,'Calc Smart'!G257,'Calc Avalanche'!G257,'Calc Snowball'!G257,'Calc Cashflow'!G257)</f>
        <v/>
      </c>
      <c r="K251" s="67">
        <f>CHOOSE(Plan!$K$5,'Calc Smart'!H257,'Calc Avalanche'!H257,'Calc Snowball'!H257,'Calc Cashflow'!H257)</f>
        <v/>
      </c>
      <c r="L251" s="67">
        <f>CHOOSE(Plan!$K$5,'Calc Smart'!I257,'Calc Avalanche'!I257,'Calc Snowball'!I257,'Calc Cashflow'!I257)</f>
        <v/>
      </c>
      <c r="M251" s="67">
        <f>CHOOSE(Plan!$K$5,'Calc Smart'!J257,'Calc Avalanche'!J257,'Calc Snowball'!J257,'Calc Cashflow'!J257)</f>
        <v/>
      </c>
      <c r="N251" s="67">
        <f>CHOOSE(Plan!$K$5,'Calc Smart'!K257,'Calc Avalanche'!K257,'Calc Snowball'!K257,'Calc Cashflow'!K257)</f>
        <v/>
      </c>
      <c r="O251" s="67">
        <f>CHOOSE(Plan!$K$5,'Calc Smart'!L257,'Calc Avalanche'!L257,'Calc Snowball'!L257,'Calc Cashflow'!L257)</f>
        <v/>
      </c>
      <c r="P251" s="67">
        <f>CHOOSE(Plan!$K$5,'Calc Smart'!M257,'Calc Avalanche'!M257,'Calc Snowball'!M257,'Calc Cashflow'!M257)</f>
        <v/>
      </c>
      <c r="Q251" s="67">
        <f>CHOOSE(Plan!$K$5,'Calc Smart'!N257,'Calc Avalanche'!N257,'Calc Snowball'!N257,'Calc Cashflow'!N257)</f>
        <v/>
      </c>
    </row>
    <row r="252">
      <c r="B252" s="64">
        <f>EDATE(Plan!$C$6,246)</f>
        <v/>
      </c>
      <c r="C252" s="31">
        <f>CHOOSE(Plan!$K$5,'Calc Smart'!AE258,'Calc Avalanche'!AE258,'Calc Snowball'!AE258,'Calc Cashflow'!AE258)</f>
        <v/>
      </c>
      <c r="D252" s="31">
        <f>CHOOSE(Plan!$K$5,'Calc Smart'!AD258,'Calc Avalanche'!AD258,'Calc Snowball'!AD258,'Calc Cashflow'!AD258)</f>
        <v/>
      </c>
      <c r="E252" s="40">
        <f>CHOOSE(Plan!$K$5,COUNTIF('Calc Smart'!C258:N258,"&gt;0"),COUNTIF('Calc Avalanche'!C258:N258,"&gt;0"),COUNTIF('Calc Snowball'!C258:N258,"&gt;0"),COUNTIF('Calc Cashflow'!C258:N258,"&gt;0"))</f>
        <v/>
      </c>
      <c r="F252" s="65">
        <f>CHOOSE(Plan!$K$5,'Calc Smart'!C258,'Calc Avalanche'!C258,'Calc Snowball'!C258,'Calc Cashflow'!C258)</f>
        <v/>
      </c>
      <c r="G252" s="65">
        <f>CHOOSE(Plan!$K$5,'Calc Smart'!D258,'Calc Avalanche'!D258,'Calc Snowball'!D258,'Calc Cashflow'!D258)</f>
        <v/>
      </c>
      <c r="H252" s="65">
        <f>CHOOSE(Plan!$K$5,'Calc Smart'!E258,'Calc Avalanche'!E258,'Calc Snowball'!E258,'Calc Cashflow'!E258)</f>
        <v/>
      </c>
      <c r="I252" s="65">
        <f>CHOOSE(Plan!$K$5,'Calc Smart'!F258,'Calc Avalanche'!F258,'Calc Snowball'!F258,'Calc Cashflow'!F258)</f>
        <v/>
      </c>
      <c r="J252" s="65">
        <f>CHOOSE(Plan!$K$5,'Calc Smart'!G258,'Calc Avalanche'!G258,'Calc Snowball'!G258,'Calc Cashflow'!G258)</f>
        <v/>
      </c>
      <c r="K252" s="65">
        <f>CHOOSE(Plan!$K$5,'Calc Smart'!H258,'Calc Avalanche'!H258,'Calc Snowball'!H258,'Calc Cashflow'!H258)</f>
        <v/>
      </c>
      <c r="L252" s="65">
        <f>CHOOSE(Plan!$K$5,'Calc Smart'!I258,'Calc Avalanche'!I258,'Calc Snowball'!I258,'Calc Cashflow'!I258)</f>
        <v/>
      </c>
      <c r="M252" s="65">
        <f>CHOOSE(Plan!$K$5,'Calc Smart'!J258,'Calc Avalanche'!J258,'Calc Snowball'!J258,'Calc Cashflow'!J258)</f>
        <v/>
      </c>
      <c r="N252" s="65">
        <f>CHOOSE(Plan!$K$5,'Calc Smart'!K258,'Calc Avalanche'!K258,'Calc Snowball'!K258,'Calc Cashflow'!K258)</f>
        <v/>
      </c>
      <c r="O252" s="65">
        <f>CHOOSE(Plan!$K$5,'Calc Smart'!L258,'Calc Avalanche'!L258,'Calc Snowball'!L258,'Calc Cashflow'!L258)</f>
        <v/>
      </c>
      <c r="P252" s="65">
        <f>CHOOSE(Plan!$K$5,'Calc Smart'!M258,'Calc Avalanche'!M258,'Calc Snowball'!M258,'Calc Cashflow'!M258)</f>
        <v/>
      </c>
      <c r="Q252" s="65">
        <f>CHOOSE(Plan!$K$5,'Calc Smart'!N258,'Calc Avalanche'!N258,'Calc Snowball'!N258,'Calc Cashflow'!N258)</f>
        <v/>
      </c>
    </row>
    <row r="253">
      <c r="B253" s="66">
        <f>EDATE(Plan!$C$6,247)</f>
        <v/>
      </c>
      <c r="C253" s="32">
        <f>CHOOSE(Plan!$K$5,'Calc Smart'!AE259,'Calc Avalanche'!AE259,'Calc Snowball'!AE259,'Calc Cashflow'!AE259)</f>
        <v/>
      </c>
      <c r="D253" s="32">
        <f>CHOOSE(Plan!$K$5,'Calc Smart'!AD259,'Calc Avalanche'!AD259,'Calc Snowball'!AD259,'Calc Cashflow'!AD259)</f>
        <v/>
      </c>
      <c r="E253" s="43">
        <f>CHOOSE(Plan!$K$5,COUNTIF('Calc Smart'!C259:N259,"&gt;0"),COUNTIF('Calc Avalanche'!C259:N259,"&gt;0"),COUNTIF('Calc Snowball'!C259:N259,"&gt;0"),COUNTIF('Calc Cashflow'!C259:N259,"&gt;0"))</f>
        <v/>
      </c>
      <c r="F253" s="67">
        <f>CHOOSE(Plan!$K$5,'Calc Smart'!C259,'Calc Avalanche'!C259,'Calc Snowball'!C259,'Calc Cashflow'!C259)</f>
        <v/>
      </c>
      <c r="G253" s="67">
        <f>CHOOSE(Plan!$K$5,'Calc Smart'!D259,'Calc Avalanche'!D259,'Calc Snowball'!D259,'Calc Cashflow'!D259)</f>
        <v/>
      </c>
      <c r="H253" s="67">
        <f>CHOOSE(Plan!$K$5,'Calc Smart'!E259,'Calc Avalanche'!E259,'Calc Snowball'!E259,'Calc Cashflow'!E259)</f>
        <v/>
      </c>
      <c r="I253" s="67">
        <f>CHOOSE(Plan!$K$5,'Calc Smart'!F259,'Calc Avalanche'!F259,'Calc Snowball'!F259,'Calc Cashflow'!F259)</f>
        <v/>
      </c>
      <c r="J253" s="67">
        <f>CHOOSE(Plan!$K$5,'Calc Smart'!G259,'Calc Avalanche'!G259,'Calc Snowball'!G259,'Calc Cashflow'!G259)</f>
        <v/>
      </c>
      <c r="K253" s="67">
        <f>CHOOSE(Plan!$K$5,'Calc Smart'!H259,'Calc Avalanche'!H259,'Calc Snowball'!H259,'Calc Cashflow'!H259)</f>
        <v/>
      </c>
      <c r="L253" s="67">
        <f>CHOOSE(Plan!$K$5,'Calc Smart'!I259,'Calc Avalanche'!I259,'Calc Snowball'!I259,'Calc Cashflow'!I259)</f>
        <v/>
      </c>
      <c r="M253" s="67">
        <f>CHOOSE(Plan!$K$5,'Calc Smart'!J259,'Calc Avalanche'!J259,'Calc Snowball'!J259,'Calc Cashflow'!J259)</f>
        <v/>
      </c>
      <c r="N253" s="67">
        <f>CHOOSE(Plan!$K$5,'Calc Smart'!K259,'Calc Avalanche'!K259,'Calc Snowball'!K259,'Calc Cashflow'!K259)</f>
        <v/>
      </c>
      <c r="O253" s="67">
        <f>CHOOSE(Plan!$K$5,'Calc Smart'!L259,'Calc Avalanche'!L259,'Calc Snowball'!L259,'Calc Cashflow'!L259)</f>
        <v/>
      </c>
      <c r="P253" s="67">
        <f>CHOOSE(Plan!$K$5,'Calc Smart'!M259,'Calc Avalanche'!M259,'Calc Snowball'!M259,'Calc Cashflow'!M259)</f>
        <v/>
      </c>
      <c r="Q253" s="67">
        <f>CHOOSE(Plan!$K$5,'Calc Smart'!N259,'Calc Avalanche'!N259,'Calc Snowball'!N259,'Calc Cashflow'!N259)</f>
        <v/>
      </c>
    </row>
    <row r="254">
      <c r="B254" s="64">
        <f>EDATE(Plan!$C$6,248)</f>
        <v/>
      </c>
      <c r="C254" s="31">
        <f>CHOOSE(Plan!$K$5,'Calc Smart'!AE260,'Calc Avalanche'!AE260,'Calc Snowball'!AE260,'Calc Cashflow'!AE260)</f>
        <v/>
      </c>
      <c r="D254" s="31">
        <f>CHOOSE(Plan!$K$5,'Calc Smart'!AD260,'Calc Avalanche'!AD260,'Calc Snowball'!AD260,'Calc Cashflow'!AD260)</f>
        <v/>
      </c>
      <c r="E254" s="40">
        <f>CHOOSE(Plan!$K$5,COUNTIF('Calc Smart'!C260:N260,"&gt;0"),COUNTIF('Calc Avalanche'!C260:N260,"&gt;0"),COUNTIF('Calc Snowball'!C260:N260,"&gt;0"),COUNTIF('Calc Cashflow'!C260:N260,"&gt;0"))</f>
        <v/>
      </c>
      <c r="F254" s="65">
        <f>CHOOSE(Plan!$K$5,'Calc Smart'!C260,'Calc Avalanche'!C260,'Calc Snowball'!C260,'Calc Cashflow'!C260)</f>
        <v/>
      </c>
      <c r="G254" s="65">
        <f>CHOOSE(Plan!$K$5,'Calc Smart'!D260,'Calc Avalanche'!D260,'Calc Snowball'!D260,'Calc Cashflow'!D260)</f>
        <v/>
      </c>
      <c r="H254" s="65">
        <f>CHOOSE(Plan!$K$5,'Calc Smart'!E260,'Calc Avalanche'!E260,'Calc Snowball'!E260,'Calc Cashflow'!E260)</f>
        <v/>
      </c>
      <c r="I254" s="65">
        <f>CHOOSE(Plan!$K$5,'Calc Smart'!F260,'Calc Avalanche'!F260,'Calc Snowball'!F260,'Calc Cashflow'!F260)</f>
        <v/>
      </c>
      <c r="J254" s="65">
        <f>CHOOSE(Plan!$K$5,'Calc Smart'!G260,'Calc Avalanche'!G260,'Calc Snowball'!G260,'Calc Cashflow'!G260)</f>
        <v/>
      </c>
      <c r="K254" s="65">
        <f>CHOOSE(Plan!$K$5,'Calc Smart'!H260,'Calc Avalanche'!H260,'Calc Snowball'!H260,'Calc Cashflow'!H260)</f>
        <v/>
      </c>
      <c r="L254" s="65">
        <f>CHOOSE(Plan!$K$5,'Calc Smart'!I260,'Calc Avalanche'!I260,'Calc Snowball'!I260,'Calc Cashflow'!I260)</f>
        <v/>
      </c>
      <c r="M254" s="65">
        <f>CHOOSE(Plan!$K$5,'Calc Smart'!J260,'Calc Avalanche'!J260,'Calc Snowball'!J260,'Calc Cashflow'!J260)</f>
        <v/>
      </c>
      <c r="N254" s="65">
        <f>CHOOSE(Plan!$K$5,'Calc Smart'!K260,'Calc Avalanche'!K260,'Calc Snowball'!K260,'Calc Cashflow'!K260)</f>
        <v/>
      </c>
      <c r="O254" s="65">
        <f>CHOOSE(Plan!$K$5,'Calc Smart'!L260,'Calc Avalanche'!L260,'Calc Snowball'!L260,'Calc Cashflow'!L260)</f>
        <v/>
      </c>
      <c r="P254" s="65">
        <f>CHOOSE(Plan!$K$5,'Calc Smart'!M260,'Calc Avalanche'!M260,'Calc Snowball'!M260,'Calc Cashflow'!M260)</f>
        <v/>
      </c>
      <c r="Q254" s="65">
        <f>CHOOSE(Plan!$K$5,'Calc Smart'!N260,'Calc Avalanche'!N260,'Calc Snowball'!N260,'Calc Cashflow'!N260)</f>
        <v/>
      </c>
    </row>
    <row r="255">
      <c r="B255" s="66">
        <f>EDATE(Plan!$C$6,249)</f>
        <v/>
      </c>
      <c r="C255" s="32">
        <f>CHOOSE(Plan!$K$5,'Calc Smart'!AE261,'Calc Avalanche'!AE261,'Calc Snowball'!AE261,'Calc Cashflow'!AE261)</f>
        <v/>
      </c>
      <c r="D255" s="32">
        <f>CHOOSE(Plan!$K$5,'Calc Smart'!AD261,'Calc Avalanche'!AD261,'Calc Snowball'!AD261,'Calc Cashflow'!AD261)</f>
        <v/>
      </c>
      <c r="E255" s="43">
        <f>CHOOSE(Plan!$K$5,COUNTIF('Calc Smart'!C261:N261,"&gt;0"),COUNTIF('Calc Avalanche'!C261:N261,"&gt;0"),COUNTIF('Calc Snowball'!C261:N261,"&gt;0"),COUNTIF('Calc Cashflow'!C261:N261,"&gt;0"))</f>
        <v/>
      </c>
      <c r="F255" s="67">
        <f>CHOOSE(Plan!$K$5,'Calc Smart'!C261,'Calc Avalanche'!C261,'Calc Snowball'!C261,'Calc Cashflow'!C261)</f>
        <v/>
      </c>
      <c r="G255" s="67">
        <f>CHOOSE(Plan!$K$5,'Calc Smart'!D261,'Calc Avalanche'!D261,'Calc Snowball'!D261,'Calc Cashflow'!D261)</f>
        <v/>
      </c>
      <c r="H255" s="67">
        <f>CHOOSE(Plan!$K$5,'Calc Smart'!E261,'Calc Avalanche'!E261,'Calc Snowball'!E261,'Calc Cashflow'!E261)</f>
        <v/>
      </c>
      <c r="I255" s="67">
        <f>CHOOSE(Plan!$K$5,'Calc Smart'!F261,'Calc Avalanche'!F261,'Calc Snowball'!F261,'Calc Cashflow'!F261)</f>
        <v/>
      </c>
      <c r="J255" s="67">
        <f>CHOOSE(Plan!$K$5,'Calc Smart'!G261,'Calc Avalanche'!G261,'Calc Snowball'!G261,'Calc Cashflow'!G261)</f>
        <v/>
      </c>
      <c r="K255" s="67">
        <f>CHOOSE(Plan!$K$5,'Calc Smart'!H261,'Calc Avalanche'!H261,'Calc Snowball'!H261,'Calc Cashflow'!H261)</f>
        <v/>
      </c>
      <c r="L255" s="67">
        <f>CHOOSE(Plan!$K$5,'Calc Smart'!I261,'Calc Avalanche'!I261,'Calc Snowball'!I261,'Calc Cashflow'!I261)</f>
        <v/>
      </c>
      <c r="M255" s="67">
        <f>CHOOSE(Plan!$K$5,'Calc Smart'!J261,'Calc Avalanche'!J261,'Calc Snowball'!J261,'Calc Cashflow'!J261)</f>
        <v/>
      </c>
      <c r="N255" s="67">
        <f>CHOOSE(Plan!$K$5,'Calc Smart'!K261,'Calc Avalanche'!K261,'Calc Snowball'!K261,'Calc Cashflow'!K261)</f>
        <v/>
      </c>
      <c r="O255" s="67">
        <f>CHOOSE(Plan!$K$5,'Calc Smart'!L261,'Calc Avalanche'!L261,'Calc Snowball'!L261,'Calc Cashflow'!L261)</f>
        <v/>
      </c>
      <c r="P255" s="67">
        <f>CHOOSE(Plan!$K$5,'Calc Smart'!M261,'Calc Avalanche'!M261,'Calc Snowball'!M261,'Calc Cashflow'!M261)</f>
        <v/>
      </c>
      <c r="Q255" s="67">
        <f>CHOOSE(Plan!$K$5,'Calc Smart'!N261,'Calc Avalanche'!N261,'Calc Snowball'!N261,'Calc Cashflow'!N261)</f>
        <v/>
      </c>
    </row>
    <row r="256">
      <c r="B256" s="64">
        <f>EDATE(Plan!$C$6,250)</f>
        <v/>
      </c>
      <c r="C256" s="31">
        <f>CHOOSE(Plan!$K$5,'Calc Smart'!AE262,'Calc Avalanche'!AE262,'Calc Snowball'!AE262,'Calc Cashflow'!AE262)</f>
        <v/>
      </c>
      <c r="D256" s="31">
        <f>CHOOSE(Plan!$K$5,'Calc Smart'!AD262,'Calc Avalanche'!AD262,'Calc Snowball'!AD262,'Calc Cashflow'!AD262)</f>
        <v/>
      </c>
      <c r="E256" s="40">
        <f>CHOOSE(Plan!$K$5,COUNTIF('Calc Smart'!C262:N262,"&gt;0"),COUNTIF('Calc Avalanche'!C262:N262,"&gt;0"),COUNTIF('Calc Snowball'!C262:N262,"&gt;0"),COUNTIF('Calc Cashflow'!C262:N262,"&gt;0"))</f>
        <v/>
      </c>
      <c r="F256" s="65">
        <f>CHOOSE(Plan!$K$5,'Calc Smart'!C262,'Calc Avalanche'!C262,'Calc Snowball'!C262,'Calc Cashflow'!C262)</f>
        <v/>
      </c>
      <c r="G256" s="65">
        <f>CHOOSE(Plan!$K$5,'Calc Smart'!D262,'Calc Avalanche'!D262,'Calc Snowball'!D262,'Calc Cashflow'!D262)</f>
        <v/>
      </c>
      <c r="H256" s="65">
        <f>CHOOSE(Plan!$K$5,'Calc Smart'!E262,'Calc Avalanche'!E262,'Calc Snowball'!E262,'Calc Cashflow'!E262)</f>
        <v/>
      </c>
      <c r="I256" s="65">
        <f>CHOOSE(Plan!$K$5,'Calc Smart'!F262,'Calc Avalanche'!F262,'Calc Snowball'!F262,'Calc Cashflow'!F262)</f>
        <v/>
      </c>
      <c r="J256" s="65">
        <f>CHOOSE(Plan!$K$5,'Calc Smart'!G262,'Calc Avalanche'!G262,'Calc Snowball'!G262,'Calc Cashflow'!G262)</f>
        <v/>
      </c>
      <c r="K256" s="65">
        <f>CHOOSE(Plan!$K$5,'Calc Smart'!H262,'Calc Avalanche'!H262,'Calc Snowball'!H262,'Calc Cashflow'!H262)</f>
        <v/>
      </c>
      <c r="L256" s="65">
        <f>CHOOSE(Plan!$K$5,'Calc Smart'!I262,'Calc Avalanche'!I262,'Calc Snowball'!I262,'Calc Cashflow'!I262)</f>
        <v/>
      </c>
      <c r="M256" s="65">
        <f>CHOOSE(Plan!$K$5,'Calc Smart'!J262,'Calc Avalanche'!J262,'Calc Snowball'!J262,'Calc Cashflow'!J262)</f>
        <v/>
      </c>
      <c r="N256" s="65">
        <f>CHOOSE(Plan!$K$5,'Calc Smart'!K262,'Calc Avalanche'!K262,'Calc Snowball'!K262,'Calc Cashflow'!K262)</f>
        <v/>
      </c>
      <c r="O256" s="65">
        <f>CHOOSE(Plan!$K$5,'Calc Smart'!L262,'Calc Avalanche'!L262,'Calc Snowball'!L262,'Calc Cashflow'!L262)</f>
        <v/>
      </c>
      <c r="P256" s="65">
        <f>CHOOSE(Plan!$K$5,'Calc Smart'!M262,'Calc Avalanche'!M262,'Calc Snowball'!M262,'Calc Cashflow'!M262)</f>
        <v/>
      </c>
      <c r="Q256" s="65">
        <f>CHOOSE(Plan!$K$5,'Calc Smart'!N262,'Calc Avalanche'!N262,'Calc Snowball'!N262,'Calc Cashflow'!N262)</f>
        <v/>
      </c>
    </row>
    <row r="257">
      <c r="B257" s="66">
        <f>EDATE(Plan!$C$6,251)</f>
        <v/>
      </c>
      <c r="C257" s="32">
        <f>CHOOSE(Plan!$K$5,'Calc Smart'!AE263,'Calc Avalanche'!AE263,'Calc Snowball'!AE263,'Calc Cashflow'!AE263)</f>
        <v/>
      </c>
      <c r="D257" s="32">
        <f>CHOOSE(Plan!$K$5,'Calc Smart'!AD263,'Calc Avalanche'!AD263,'Calc Snowball'!AD263,'Calc Cashflow'!AD263)</f>
        <v/>
      </c>
      <c r="E257" s="43">
        <f>CHOOSE(Plan!$K$5,COUNTIF('Calc Smart'!C263:N263,"&gt;0"),COUNTIF('Calc Avalanche'!C263:N263,"&gt;0"),COUNTIF('Calc Snowball'!C263:N263,"&gt;0"),COUNTIF('Calc Cashflow'!C263:N263,"&gt;0"))</f>
        <v/>
      </c>
      <c r="F257" s="67">
        <f>CHOOSE(Plan!$K$5,'Calc Smart'!C263,'Calc Avalanche'!C263,'Calc Snowball'!C263,'Calc Cashflow'!C263)</f>
        <v/>
      </c>
      <c r="G257" s="67">
        <f>CHOOSE(Plan!$K$5,'Calc Smart'!D263,'Calc Avalanche'!D263,'Calc Snowball'!D263,'Calc Cashflow'!D263)</f>
        <v/>
      </c>
      <c r="H257" s="67">
        <f>CHOOSE(Plan!$K$5,'Calc Smart'!E263,'Calc Avalanche'!E263,'Calc Snowball'!E263,'Calc Cashflow'!E263)</f>
        <v/>
      </c>
      <c r="I257" s="67">
        <f>CHOOSE(Plan!$K$5,'Calc Smart'!F263,'Calc Avalanche'!F263,'Calc Snowball'!F263,'Calc Cashflow'!F263)</f>
        <v/>
      </c>
      <c r="J257" s="67">
        <f>CHOOSE(Plan!$K$5,'Calc Smart'!G263,'Calc Avalanche'!G263,'Calc Snowball'!G263,'Calc Cashflow'!G263)</f>
        <v/>
      </c>
      <c r="K257" s="67">
        <f>CHOOSE(Plan!$K$5,'Calc Smart'!H263,'Calc Avalanche'!H263,'Calc Snowball'!H263,'Calc Cashflow'!H263)</f>
        <v/>
      </c>
      <c r="L257" s="67">
        <f>CHOOSE(Plan!$K$5,'Calc Smart'!I263,'Calc Avalanche'!I263,'Calc Snowball'!I263,'Calc Cashflow'!I263)</f>
        <v/>
      </c>
      <c r="M257" s="67">
        <f>CHOOSE(Plan!$K$5,'Calc Smart'!J263,'Calc Avalanche'!J263,'Calc Snowball'!J263,'Calc Cashflow'!J263)</f>
        <v/>
      </c>
      <c r="N257" s="67">
        <f>CHOOSE(Plan!$K$5,'Calc Smart'!K263,'Calc Avalanche'!K263,'Calc Snowball'!K263,'Calc Cashflow'!K263)</f>
        <v/>
      </c>
      <c r="O257" s="67">
        <f>CHOOSE(Plan!$K$5,'Calc Smart'!L263,'Calc Avalanche'!L263,'Calc Snowball'!L263,'Calc Cashflow'!L263)</f>
        <v/>
      </c>
      <c r="P257" s="67">
        <f>CHOOSE(Plan!$K$5,'Calc Smart'!M263,'Calc Avalanche'!M263,'Calc Snowball'!M263,'Calc Cashflow'!M263)</f>
        <v/>
      </c>
      <c r="Q257" s="67">
        <f>CHOOSE(Plan!$K$5,'Calc Smart'!N263,'Calc Avalanche'!N263,'Calc Snowball'!N263,'Calc Cashflow'!N263)</f>
        <v/>
      </c>
    </row>
    <row r="258">
      <c r="B258" s="64">
        <f>EDATE(Plan!$C$6,252)</f>
        <v/>
      </c>
      <c r="C258" s="31">
        <f>CHOOSE(Plan!$K$5,'Calc Smart'!AE264,'Calc Avalanche'!AE264,'Calc Snowball'!AE264,'Calc Cashflow'!AE264)</f>
        <v/>
      </c>
      <c r="D258" s="31">
        <f>CHOOSE(Plan!$K$5,'Calc Smart'!AD264,'Calc Avalanche'!AD264,'Calc Snowball'!AD264,'Calc Cashflow'!AD264)</f>
        <v/>
      </c>
      <c r="E258" s="40">
        <f>CHOOSE(Plan!$K$5,COUNTIF('Calc Smart'!C264:N264,"&gt;0"),COUNTIF('Calc Avalanche'!C264:N264,"&gt;0"),COUNTIF('Calc Snowball'!C264:N264,"&gt;0"),COUNTIF('Calc Cashflow'!C264:N264,"&gt;0"))</f>
        <v/>
      </c>
      <c r="F258" s="65">
        <f>CHOOSE(Plan!$K$5,'Calc Smart'!C264,'Calc Avalanche'!C264,'Calc Snowball'!C264,'Calc Cashflow'!C264)</f>
        <v/>
      </c>
      <c r="G258" s="65">
        <f>CHOOSE(Plan!$K$5,'Calc Smart'!D264,'Calc Avalanche'!D264,'Calc Snowball'!D264,'Calc Cashflow'!D264)</f>
        <v/>
      </c>
      <c r="H258" s="65">
        <f>CHOOSE(Plan!$K$5,'Calc Smart'!E264,'Calc Avalanche'!E264,'Calc Snowball'!E264,'Calc Cashflow'!E264)</f>
        <v/>
      </c>
      <c r="I258" s="65">
        <f>CHOOSE(Plan!$K$5,'Calc Smart'!F264,'Calc Avalanche'!F264,'Calc Snowball'!F264,'Calc Cashflow'!F264)</f>
        <v/>
      </c>
      <c r="J258" s="65">
        <f>CHOOSE(Plan!$K$5,'Calc Smart'!G264,'Calc Avalanche'!G264,'Calc Snowball'!G264,'Calc Cashflow'!G264)</f>
        <v/>
      </c>
      <c r="K258" s="65">
        <f>CHOOSE(Plan!$K$5,'Calc Smart'!H264,'Calc Avalanche'!H264,'Calc Snowball'!H264,'Calc Cashflow'!H264)</f>
        <v/>
      </c>
      <c r="L258" s="65">
        <f>CHOOSE(Plan!$K$5,'Calc Smart'!I264,'Calc Avalanche'!I264,'Calc Snowball'!I264,'Calc Cashflow'!I264)</f>
        <v/>
      </c>
      <c r="M258" s="65">
        <f>CHOOSE(Plan!$K$5,'Calc Smart'!J264,'Calc Avalanche'!J264,'Calc Snowball'!J264,'Calc Cashflow'!J264)</f>
        <v/>
      </c>
      <c r="N258" s="65">
        <f>CHOOSE(Plan!$K$5,'Calc Smart'!K264,'Calc Avalanche'!K264,'Calc Snowball'!K264,'Calc Cashflow'!K264)</f>
        <v/>
      </c>
      <c r="O258" s="65">
        <f>CHOOSE(Plan!$K$5,'Calc Smart'!L264,'Calc Avalanche'!L264,'Calc Snowball'!L264,'Calc Cashflow'!L264)</f>
        <v/>
      </c>
      <c r="P258" s="65">
        <f>CHOOSE(Plan!$K$5,'Calc Smart'!M264,'Calc Avalanche'!M264,'Calc Snowball'!M264,'Calc Cashflow'!M264)</f>
        <v/>
      </c>
      <c r="Q258" s="65">
        <f>CHOOSE(Plan!$K$5,'Calc Smart'!N264,'Calc Avalanche'!N264,'Calc Snowball'!N264,'Calc Cashflow'!N264)</f>
        <v/>
      </c>
    </row>
    <row r="259">
      <c r="B259" s="66">
        <f>EDATE(Plan!$C$6,253)</f>
        <v/>
      </c>
      <c r="C259" s="32">
        <f>CHOOSE(Plan!$K$5,'Calc Smart'!AE265,'Calc Avalanche'!AE265,'Calc Snowball'!AE265,'Calc Cashflow'!AE265)</f>
        <v/>
      </c>
      <c r="D259" s="32">
        <f>CHOOSE(Plan!$K$5,'Calc Smart'!AD265,'Calc Avalanche'!AD265,'Calc Snowball'!AD265,'Calc Cashflow'!AD265)</f>
        <v/>
      </c>
      <c r="E259" s="43">
        <f>CHOOSE(Plan!$K$5,COUNTIF('Calc Smart'!C265:N265,"&gt;0"),COUNTIF('Calc Avalanche'!C265:N265,"&gt;0"),COUNTIF('Calc Snowball'!C265:N265,"&gt;0"),COUNTIF('Calc Cashflow'!C265:N265,"&gt;0"))</f>
        <v/>
      </c>
      <c r="F259" s="67">
        <f>CHOOSE(Plan!$K$5,'Calc Smart'!C265,'Calc Avalanche'!C265,'Calc Snowball'!C265,'Calc Cashflow'!C265)</f>
        <v/>
      </c>
      <c r="G259" s="67">
        <f>CHOOSE(Plan!$K$5,'Calc Smart'!D265,'Calc Avalanche'!D265,'Calc Snowball'!D265,'Calc Cashflow'!D265)</f>
        <v/>
      </c>
      <c r="H259" s="67">
        <f>CHOOSE(Plan!$K$5,'Calc Smart'!E265,'Calc Avalanche'!E265,'Calc Snowball'!E265,'Calc Cashflow'!E265)</f>
        <v/>
      </c>
      <c r="I259" s="67">
        <f>CHOOSE(Plan!$K$5,'Calc Smart'!F265,'Calc Avalanche'!F265,'Calc Snowball'!F265,'Calc Cashflow'!F265)</f>
        <v/>
      </c>
      <c r="J259" s="67">
        <f>CHOOSE(Plan!$K$5,'Calc Smart'!G265,'Calc Avalanche'!G265,'Calc Snowball'!G265,'Calc Cashflow'!G265)</f>
        <v/>
      </c>
      <c r="K259" s="67">
        <f>CHOOSE(Plan!$K$5,'Calc Smart'!H265,'Calc Avalanche'!H265,'Calc Snowball'!H265,'Calc Cashflow'!H265)</f>
        <v/>
      </c>
      <c r="L259" s="67">
        <f>CHOOSE(Plan!$K$5,'Calc Smart'!I265,'Calc Avalanche'!I265,'Calc Snowball'!I265,'Calc Cashflow'!I265)</f>
        <v/>
      </c>
      <c r="M259" s="67">
        <f>CHOOSE(Plan!$K$5,'Calc Smart'!J265,'Calc Avalanche'!J265,'Calc Snowball'!J265,'Calc Cashflow'!J265)</f>
        <v/>
      </c>
      <c r="N259" s="67">
        <f>CHOOSE(Plan!$K$5,'Calc Smart'!K265,'Calc Avalanche'!K265,'Calc Snowball'!K265,'Calc Cashflow'!K265)</f>
        <v/>
      </c>
      <c r="O259" s="67">
        <f>CHOOSE(Plan!$K$5,'Calc Smart'!L265,'Calc Avalanche'!L265,'Calc Snowball'!L265,'Calc Cashflow'!L265)</f>
        <v/>
      </c>
      <c r="P259" s="67">
        <f>CHOOSE(Plan!$K$5,'Calc Smart'!M265,'Calc Avalanche'!M265,'Calc Snowball'!M265,'Calc Cashflow'!M265)</f>
        <v/>
      </c>
      <c r="Q259" s="67">
        <f>CHOOSE(Plan!$K$5,'Calc Smart'!N265,'Calc Avalanche'!N265,'Calc Snowball'!N265,'Calc Cashflow'!N265)</f>
        <v/>
      </c>
    </row>
    <row r="260">
      <c r="B260" s="64">
        <f>EDATE(Plan!$C$6,254)</f>
        <v/>
      </c>
      <c r="C260" s="31">
        <f>CHOOSE(Plan!$K$5,'Calc Smart'!AE266,'Calc Avalanche'!AE266,'Calc Snowball'!AE266,'Calc Cashflow'!AE266)</f>
        <v/>
      </c>
      <c r="D260" s="31">
        <f>CHOOSE(Plan!$K$5,'Calc Smart'!AD266,'Calc Avalanche'!AD266,'Calc Snowball'!AD266,'Calc Cashflow'!AD266)</f>
        <v/>
      </c>
      <c r="E260" s="40">
        <f>CHOOSE(Plan!$K$5,COUNTIF('Calc Smart'!C266:N266,"&gt;0"),COUNTIF('Calc Avalanche'!C266:N266,"&gt;0"),COUNTIF('Calc Snowball'!C266:N266,"&gt;0"),COUNTIF('Calc Cashflow'!C266:N266,"&gt;0"))</f>
        <v/>
      </c>
      <c r="F260" s="65">
        <f>CHOOSE(Plan!$K$5,'Calc Smart'!C266,'Calc Avalanche'!C266,'Calc Snowball'!C266,'Calc Cashflow'!C266)</f>
        <v/>
      </c>
      <c r="G260" s="65">
        <f>CHOOSE(Plan!$K$5,'Calc Smart'!D266,'Calc Avalanche'!D266,'Calc Snowball'!D266,'Calc Cashflow'!D266)</f>
        <v/>
      </c>
      <c r="H260" s="65">
        <f>CHOOSE(Plan!$K$5,'Calc Smart'!E266,'Calc Avalanche'!E266,'Calc Snowball'!E266,'Calc Cashflow'!E266)</f>
        <v/>
      </c>
      <c r="I260" s="65">
        <f>CHOOSE(Plan!$K$5,'Calc Smart'!F266,'Calc Avalanche'!F266,'Calc Snowball'!F266,'Calc Cashflow'!F266)</f>
        <v/>
      </c>
      <c r="J260" s="65">
        <f>CHOOSE(Plan!$K$5,'Calc Smart'!G266,'Calc Avalanche'!G266,'Calc Snowball'!G266,'Calc Cashflow'!G266)</f>
        <v/>
      </c>
      <c r="K260" s="65">
        <f>CHOOSE(Plan!$K$5,'Calc Smart'!H266,'Calc Avalanche'!H266,'Calc Snowball'!H266,'Calc Cashflow'!H266)</f>
        <v/>
      </c>
      <c r="L260" s="65">
        <f>CHOOSE(Plan!$K$5,'Calc Smart'!I266,'Calc Avalanche'!I266,'Calc Snowball'!I266,'Calc Cashflow'!I266)</f>
        <v/>
      </c>
      <c r="M260" s="65">
        <f>CHOOSE(Plan!$K$5,'Calc Smart'!J266,'Calc Avalanche'!J266,'Calc Snowball'!J266,'Calc Cashflow'!J266)</f>
        <v/>
      </c>
      <c r="N260" s="65">
        <f>CHOOSE(Plan!$K$5,'Calc Smart'!K266,'Calc Avalanche'!K266,'Calc Snowball'!K266,'Calc Cashflow'!K266)</f>
        <v/>
      </c>
      <c r="O260" s="65">
        <f>CHOOSE(Plan!$K$5,'Calc Smart'!L266,'Calc Avalanche'!L266,'Calc Snowball'!L266,'Calc Cashflow'!L266)</f>
        <v/>
      </c>
      <c r="P260" s="65">
        <f>CHOOSE(Plan!$K$5,'Calc Smart'!M266,'Calc Avalanche'!M266,'Calc Snowball'!M266,'Calc Cashflow'!M266)</f>
        <v/>
      </c>
      <c r="Q260" s="65">
        <f>CHOOSE(Plan!$K$5,'Calc Smart'!N266,'Calc Avalanche'!N266,'Calc Snowball'!N266,'Calc Cashflow'!N266)</f>
        <v/>
      </c>
    </row>
    <row r="261">
      <c r="B261" s="66">
        <f>EDATE(Plan!$C$6,255)</f>
        <v/>
      </c>
      <c r="C261" s="32">
        <f>CHOOSE(Plan!$K$5,'Calc Smart'!AE267,'Calc Avalanche'!AE267,'Calc Snowball'!AE267,'Calc Cashflow'!AE267)</f>
        <v/>
      </c>
      <c r="D261" s="32">
        <f>CHOOSE(Plan!$K$5,'Calc Smart'!AD267,'Calc Avalanche'!AD267,'Calc Snowball'!AD267,'Calc Cashflow'!AD267)</f>
        <v/>
      </c>
      <c r="E261" s="43">
        <f>CHOOSE(Plan!$K$5,COUNTIF('Calc Smart'!C267:N267,"&gt;0"),COUNTIF('Calc Avalanche'!C267:N267,"&gt;0"),COUNTIF('Calc Snowball'!C267:N267,"&gt;0"),COUNTIF('Calc Cashflow'!C267:N267,"&gt;0"))</f>
        <v/>
      </c>
      <c r="F261" s="67">
        <f>CHOOSE(Plan!$K$5,'Calc Smart'!C267,'Calc Avalanche'!C267,'Calc Snowball'!C267,'Calc Cashflow'!C267)</f>
        <v/>
      </c>
      <c r="G261" s="67">
        <f>CHOOSE(Plan!$K$5,'Calc Smart'!D267,'Calc Avalanche'!D267,'Calc Snowball'!D267,'Calc Cashflow'!D267)</f>
        <v/>
      </c>
      <c r="H261" s="67">
        <f>CHOOSE(Plan!$K$5,'Calc Smart'!E267,'Calc Avalanche'!E267,'Calc Snowball'!E267,'Calc Cashflow'!E267)</f>
        <v/>
      </c>
      <c r="I261" s="67">
        <f>CHOOSE(Plan!$K$5,'Calc Smart'!F267,'Calc Avalanche'!F267,'Calc Snowball'!F267,'Calc Cashflow'!F267)</f>
        <v/>
      </c>
      <c r="J261" s="67">
        <f>CHOOSE(Plan!$K$5,'Calc Smart'!G267,'Calc Avalanche'!G267,'Calc Snowball'!G267,'Calc Cashflow'!G267)</f>
        <v/>
      </c>
      <c r="K261" s="67">
        <f>CHOOSE(Plan!$K$5,'Calc Smart'!H267,'Calc Avalanche'!H267,'Calc Snowball'!H267,'Calc Cashflow'!H267)</f>
        <v/>
      </c>
      <c r="L261" s="67">
        <f>CHOOSE(Plan!$K$5,'Calc Smart'!I267,'Calc Avalanche'!I267,'Calc Snowball'!I267,'Calc Cashflow'!I267)</f>
        <v/>
      </c>
      <c r="M261" s="67">
        <f>CHOOSE(Plan!$K$5,'Calc Smart'!J267,'Calc Avalanche'!J267,'Calc Snowball'!J267,'Calc Cashflow'!J267)</f>
        <v/>
      </c>
      <c r="N261" s="67">
        <f>CHOOSE(Plan!$K$5,'Calc Smart'!K267,'Calc Avalanche'!K267,'Calc Snowball'!K267,'Calc Cashflow'!K267)</f>
        <v/>
      </c>
      <c r="O261" s="67">
        <f>CHOOSE(Plan!$K$5,'Calc Smart'!L267,'Calc Avalanche'!L267,'Calc Snowball'!L267,'Calc Cashflow'!L267)</f>
        <v/>
      </c>
      <c r="P261" s="67">
        <f>CHOOSE(Plan!$K$5,'Calc Smart'!M267,'Calc Avalanche'!M267,'Calc Snowball'!M267,'Calc Cashflow'!M267)</f>
        <v/>
      </c>
      <c r="Q261" s="67">
        <f>CHOOSE(Plan!$K$5,'Calc Smart'!N267,'Calc Avalanche'!N267,'Calc Snowball'!N267,'Calc Cashflow'!N267)</f>
        <v/>
      </c>
    </row>
    <row r="262">
      <c r="B262" s="64">
        <f>EDATE(Plan!$C$6,256)</f>
        <v/>
      </c>
      <c r="C262" s="31">
        <f>CHOOSE(Plan!$K$5,'Calc Smart'!AE268,'Calc Avalanche'!AE268,'Calc Snowball'!AE268,'Calc Cashflow'!AE268)</f>
        <v/>
      </c>
      <c r="D262" s="31">
        <f>CHOOSE(Plan!$K$5,'Calc Smart'!AD268,'Calc Avalanche'!AD268,'Calc Snowball'!AD268,'Calc Cashflow'!AD268)</f>
        <v/>
      </c>
      <c r="E262" s="40">
        <f>CHOOSE(Plan!$K$5,COUNTIF('Calc Smart'!C268:N268,"&gt;0"),COUNTIF('Calc Avalanche'!C268:N268,"&gt;0"),COUNTIF('Calc Snowball'!C268:N268,"&gt;0"),COUNTIF('Calc Cashflow'!C268:N268,"&gt;0"))</f>
        <v/>
      </c>
      <c r="F262" s="65">
        <f>CHOOSE(Plan!$K$5,'Calc Smart'!C268,'Calc Avalanche'!C268,'Calc Snowball'!C268,'Calc Cashflow'!C268)</f>
        <v/>
      </c>
      <c r="G262" s="65">
        <f>CHOOSE(Plan!$K$5,'Calc Smart'!D268,'Calc Avalanche'!D268,'Calc Snowball'!D268,'Calc Cashflow'!D268)</f>
        <v/>
      </c>
      <c r="H262" s="65">
        <f>CHOOSE(Plan!$K$5,'Calc Smart'!E268,'Calc Avalanche'!E268,'Calc Snowball'!E268,'Calc Cashflow'!E268)</f>
        <v/>
      </c>
      <c r="I262" s="65">
        <f>CHOOSE(Plan!$K$5,'Calc Smart'!F268,'Calc Avalanche'!F268,'Calc Snowball'!F268,'Calc Cashflow'!F268)</f>
        <v/>
      </c>
      <c r="J262" s="65">
        <f>CHOOSE(Plan!$K$5,'Calc Smart'!G268,'Calc Avalanche'!G268,'Calc Snowball'!G268,'Calc Cashflow'!G268)</f>
        <v/>
      </c>
      <c r="K262" s="65">
        <f>CHOOSE(Plan!$K$5,'Calc Smart'!H268,'Calc Avalanche'!H268,'Calc Snowball'!H268,'Calc Cashflow'!H268)</f>
        <v/>
      </c>
      <c r="L262" s="65">
        <f>CHOOSE(Plan!$K$5,'Calc Smart'!I268,'Calc Avalanche'!I268,'Calc Snowball'!I268,'Calc Cashflow'!I268)</f>
        <v/>
      </c>
      <c r="M262" s="65">
        <f>CHOOSE(Plan!$K$5,'Calc Smart'!J268,'Calc Avalanche'!J268,'Calc Snowball'!J268,'Calc Cashflow'!J268)</f>
        <v/>
      </c>
      <c r="N262" s="65">
        <f>CHOOSE(Plan!$K$5,'Calc Smart'!K268,'Calc Avalanche'!K268,'Calc Snowball'!K268,'Calc Cashflow'!K268)</f>
        <v/>
      </c>
      <c r="O262" s="65">
        <f>CHOOSE(Plan!$K$5,'Calc Smart'!L268,'Calc Avalanche'!L268,'Calc Snowball'!L268,'Calc Cashflow'!L268)</f>
        <v/>
      </c>
      <c r="P262" s="65">
        <f>CHOOSE(Plan!$K$5,'Calc Smart'!M268,'Calc Avalanche'!M268,'Calc Snowball'!M268,'Calc Cashflow'!M268)</f>
        <v/>
      </c>
      <c r="Q262" s="65">
        <f>CHOOSE(Plan!$K$5,'Calc Smart'!N268,'Calc Avalanche'!N268,'Calc Snowball'!N268,'Calc Cashflow'!N268)</f>
        <v/>
      </c>
    </row>
    <row r="263">
      <c r="B263" s="66">
        <f>EDATE(Plan!$C$6,257)</f>
        <v/>
      </c>
      <c r="C263" s="32">
        <f>CHOOSE(Plan!$K$5,'Calc Smart'!AE269,'Calc Avalanche'!AE269,'Calc Snowball'!AE269,'Calc Cashflow'!AE269)</f>
        <v/>
      </c>
      <c r="D263" s="32">
        <f>CHOOSE(Plan!$K$5,'Calc Smart'!AD269,'Calc Avalanche'!AD269,'Calc Snowball'!AD269,'Calc Cashflow'!AD269)</f>
        <v/>
      </c>
      <c r="E263" s="43">
        <f>CHOOSE(Plan!$K$5,COUNTIF('Calc Smart'!C269:N269,"&gt;0"),COUNTIF('Calc Avalanche'!C269:N269,"&gt;0"),COUNTIF('Calc Snowball'!C269:N269,"&gt;0"),COUNTIF('Calc Cashflow'!C269:N269,"&gt;0"))</f>
        <v/>
      </c>
      <c r="F263" s="67">
        <f>CHOOSE(Plan!$K$5,'Calc Smart'!C269,'Calc Avalanche'!C269,'Calc Snowball'!C269,'Calc Cashflow'!C269)</f>
        <v/>
      </c>
      <c r="G263" s="67">
        <f>CHOOSE(Plan!$K$5,'Calc Smart'!D269,'Calc Avalanche'!D269,'Calc Snowball'!D269,'Calc Cashflow'!D269)</f>
        <v/>
      </c>
      <c r="H263" s="67">
        <f>CHOOSE(Plan!$K$5,'Calc Smart'!E269,'Calc Avalanche'!E269,'Calc Snowball'!E269,'Calc Cashflow'!E269)</f>
        <v/>
      </c>
      <c r="I263" s="67">
        <f>CHOOSE(Plan!$K$5,'Calc Smart'!F269,'Calc Avalanche'!F269,'Calc Snowball'!F269,'Calc Cashflow'!F269)</f>
        <v/>
      </c>
      <c r="J263" s="67">
        <f>CHOOSE(Plan!$K$5,'Calc Smart'!G269,'Calc Avalanche'!G269,'Calc Snowball'!G269,'Calc Cashflow'!G269)</f>
        <v/>
      </c>
      <c r="K263" s="67">
        <f>CHOOSE(Plan!$K$5,'Calc Smart'!H269,'Calc Avalanche'!H269,'Calc Snowball'!H269,'Calc Cashflow'!H269)</f>
        <v/>
      </c>
      <c r="L263" s="67">
        <f>CHOOSE(Plan!$K$5,'Calc Smart'!I269,'Calc Avalanche'!I269,'Calc Snowball'!I269,'Calc Cashflow'!I269)</f>
        <v/>
      </c>
      <c r="M263" s="67">
        <f>CHOOSE(Plan!$K$5,'Calc Smart'!J269,'Calc Avalanche'!J269,'Calc Snowball'!J269,'Calc Cashflow'!J269)</f>
        <v/>
      </c>
      <c r="N263" s="67">
        <f>CHOOSE(Plan!$K$5,'Calc Smart'!K269,'Calc Avalanche'!K269,'Calc Snowball'!K269,'Calc Cashflow'!K269)</f>
        <v/>
      </c>
      <c r="O263" s="67">
        <f>CHOOSE(Plan!$K$5,'Calc Smart'!L269,'Calc Avalanche'!L269,'Calc Snowball'!L269,'Calc Cashflow'!L269)</f>
        <v/>
      </c>
      <c r="P263" s="67">
        <f>CHOOSE(Plan!$K$5,'Calc Smart'!M269,'Calc Avalanche'!M269,'Calc Snowball'!M269,'Calc Cashflow'!M269)</f>
        <v/>
      </c>
      <c r="Q263" s="67">
        <f>CHOOSE(Plan!$K$5,'Calc Smart'!N269,'Calc Avalanche'!N269,'Calc Snowball'!N269,'Calc Cashflow'!N269)</f>
        <v/>
      </c>
    </row>
    <row r="264">
      <c r="B264" s="64">
        <f>EDATE(Plan!$C$6,258)</f>
        <v/>
      </c>
      <c r="C264" s="31">
        <f>CHOOSE(Plan!$K$5,'Calc Smart'!AE270,'Calc Avalanche'!AE270,'Calc Snowball'!AE270,'Calc Cashflow'!AE270)</f>
        <v/>
      </c>
      <c r="D264" s="31">
        <f>CHOOSE(Plan!$K$5,'Calc Smart'!AD270,'Calc Avalanche'!AD270,'Calc Snowball'!AD270,'Calc Cashflow'!AD270)</f>
        <v/>
      </c>
      <c r="E264" s="40">
        <f>CHOOSE(Plan!$K$5,COUNTIF('Calc Smart'!C270:N270,"&gt;0"),COUNTIF('Calc Avalanche'!C270:N270,"&gt;0"),COUNTIF('Calc Snowball'!C270:N270,"&gt;0"),COUNTIF('Calc Cashflow'!C270:N270,"&gt;0"))</f>
        <v/>
      </c>
      <c r="F264" s="65">
        <f>CHOOSE(Plan!$K$5,'Calc Smart'!C270,'Calc Avalanche'!C270,'Calc Snowball'!C270,'Calc Cashflow'!C270)</f>
        <v/>
      </c>
      <c r="G264" s="65">
        <f>CHOOSE(Plan!$K$5,'Calc Smart'!D270,'Calc Avalanche'!D270,'Calc Snowball'!D270,'Calc Cashflow'!D270)</f>
        <v/>
      </c>
      <c r="H264" s="65">
        <f>CHOOSE(Plan!$K$5,'Calc Smart'!E270,'Calc Avalanche'!E270,'Calc Snowball'!E270,'Calc Cashflow'!E270)</f>
        <v/>
      </c>
      <c r="I264" s="65">
        <f>CHOOSE(Plan!$K$5,'Calc Smart'!F270,'Calc Avalanche'!F270,'Calc Snowball'!F270,'Calc Cashflow'!F270)</f>
        <v/>
      </c>
      <c r="J264" s="65">
        <f>CHOOSE(Plan!$K$5,'Calc Smart'!G270,'Calc Avalanche'!G270,'Calc Snowball'!G270,'Calc Cashflow'!G270)</f>
        <v/>
      </c>
      <c r="K264" s="65">
        <f>CHOOSE(Plan!$K$5,'Calc Smart'!H270,'Calc Avalanche'!H270,'Calc Snowball'!H270,'Calc Cashflow'!H270)</f>
        <v/>
      </c>
      <c r="L264" s="65">
        <f>CHOOSE(Plan!$K$5,'Calc Smart'!I270,'Calc Avalanche'!I270,'Calc Snowball'!I270,'Calc Cashflow'!I270)</f>
        <v/>
      </c>
      <c r="M264" s="65">
        <f>CHOOSE(Plan!$K$5,'Calc Smart'!J270,'Calc Avalanche'!J270,'Calc Snowball'!J270,'Calc Cashflow'!J270)</f>
        <v/>
      </c>
      <c r="N264" s="65">
        <f>CHOOSE(Plan!$K$5,'Calc Smart'!K270,'Calc Avalanche'!K270,'Calc Snowball'!K270,'Calc Cashflow'!K270)</f>
        <v/>
      </c>
      <c r="O264" s="65">
        <f>CHOOSE(Plan!$K$5,'Calc Smart'!L270,'Calc Avalanche'!L270,'Calc Snowball'!L270,'Calc Cashflow'!L270)</f>
        <v/>
      </c>
      <c r="P264" s="65">
        <f>CHOOSE(Plan!$K$5,'Calc Smart'!M270,'Calc Avalanche'!M270,'Calc Snowball'!M270,'Calc Cashflow'!M270)</f>
        <v/>
      </c>
      <c r="Q264" s="65">
        <f>CHOOSE(Plan!$K$5,'Calc Smart'!N270,'Calc Avalanche'!N270,'Calc Snowball'!N270,'Calc Cashflow'!N270)</f>
        <v/>
      </c>
    </row>
    <row r="265">
      <c r="B265" s="66">
        <f>EDATE(Plan!$C$6,259)</f>
        <v/>
      </c>
      <c r="C265" s="32">
        <f>CHOOSE(Plan!$K$5,'Calc Smart'!AE271,'Calc Avalanche'!AE271,'Calc Snowball'!AE271,'Calc Cashflow'!AE271)</f>
        <v/>
      </c>
      <c r="D265" s="32">
        <f>CHOOSE(Plan!$K$5,'Calc Smart'!AD271,'Calc Avalanche'!AD271,'Calc Snowball'!AD271,'Calc Cashflow'!AD271)</f>
        <v/>
      </c>
      <c r="E265" s="43">
        <f>CHOOSE(Plan!$K$5,COUNTIF('Calc Smart'!C271:N271,"&gt;0"),COUNTIF('Calc Avalanche'!C271:N271,"&gt;0"),COUNTIF('Calc Snowball'!C271:N271,"&gt;0"),COUNTIF('Calc Cashflow'!C271:N271,"&gt;0"))</f>
        <v/>
      </c>
      <c r="F265" s="67">
        <f>CHOOSE(Plan!$K$5,'Calc Smart'!C271,'Calc Avalanche'!C271,'Calc Snowball'!C271,'Calc Cashflow'!C271)</f>
        <v/>
      </c>
      <c r="G265" s="67">
        <f>CHOOSE(Plan!$K$5,'Calc Smart'!D271,'Calc Avalanche'!D271,'Calc Snowball'!D271,'Calc Cashflow'!D271)</f>
        <v/>
      </c>
      <c r="H265" s="67">
        <f>CHOOSE(Plan!$K$5,'Calc Smart'!E271,'Calc Avalanche'!E271,'Calc Snowball'!E271,'Calc Cashflow'!E271)</f>
        <v/>
      </c>
      <c r="I265" s="67">
        <f>CHOOSE(Plan!$K$5,'Calc Smart'!F271,'Calc Avalanche'!F271,'Calc Snowball'!F271,'Calc Cashflow'!F271)</f>
        <v/>
      </c>
      <c r="J265" s="67">
        <f>CHOOSE(Plan!$K$5,'Calc Smart'!G271,'Calc Avalanche'!G271,'Calc Snowball'!G271,'Calc Cashflow'!G271)</f>
        <v/>
      </c>
      <c r="K265" s="67">
        <f>CHOOSE(Plan!$K$5,'Calc Smart'!H271,'Calc Avalanche'!H271,'Calc Snowball'!H271,'Calc Cashflow'!H271)</f>
        <v/>
      </c>
      <c r="L265" s="67">
        <f>CHOOSE(Plan!$K$5,'Calc Smart'!I271,'Calc Avalanche'!I271,'Calc Snowball'!I271,'Calc Cashflow'!I271)</f>
        <v/>
      </c>
      <c r="M265" s="67">
        <f>CHOOSE(Plan!$K$5,'Calc Smart'!J271,'Calc Avalanche'!J271,'Calc Snowball'!J271,'Calc Cashflow'!J271)</f>
        <v/>
      </c>
      <c r="N265" s="67">
        <f>CHOOSE(Plan!$K$5,'Calc Smart'!K271,'Calc Avalanche'!K271,'Calc Snowball'!K271,'Calc Cashflow'!K271)</f>
        <v/>
      </c>
      <c r="O265" s="67">
        <f>CHOOSE(Plan!$K$5,'Calc Smart'!L271,'Calc Avalanche'!L271,'Calc Snowball'!L271,'Calc Cashflow'!L271)</f>
        <v/>
      </c>
      <c r="P265" s="67">
        <f>CHOOSE(Plan!$K$5,'Calc Smart'!M271,'Calc Avalanche'!M271,'Calc Snowball'!M271,'Calc Cashflow'!M271)</f>
        <v/>
      </c>
      <c r="Q265" s="67">
        <f>CHOOSE(Plan!$K$5,'Calc Smart'!N271,'Calc Avalanche'!N271,'Calc Snowball'!N271,'Calc Cashflow'!N271)</f>
        <v/>
      </c>
    </row>
    <row r="266">
      <c r="B266" s="64">
        <f>EDATE(Plan!$C$6,260)</f>
        <v/>
      </c>
      <c r="C266" s="31">
        <f>CHOOSE(Plan!$K$5,'Calc Smart'!AE272,'Calc Avalanche'!AE272,'Calc Snowball'!AE272,'Calc Cashflow'!AE272)</f>
        <v/>
      </c>
      <c r="D266" s="31">
        <f>CHOOSE(Plan!$K$5,'Calc Smart'!AD272,'Calc Avalanche'!AD272,'Calc Snowball'!AD272,'Calc Cashflow'!AD272)</f>
        <v/>
      </c>
      <c r="E266" s="40">
        <f>CHOOSE(Plan!$K$5,COUNTIF('Calc Smart'!C272:N272,"&gt;0"),COUNTIF('Calc Avalanche'!C272:N272,"&gt;0"),COUNTIF('Calc Snowball'!C272:N272,"&gt;0"),COUNTIF('Calc Cashflow'!C272:N272,"&gt;0"))</f>
        <v/>
      </c>
      <c r="F266" s="65">
        <f>CHOOSE(Plan!$K$5,'Calc Smart'!C272,'Calc Avalanche'!C272,'Calc Snowball'!C272,'Calc Cashflow'!C272)</f>
        <v/>
      </c>
      <c r="G266" s="65">
        <f>CHOOSE(Plan!$K$5,'Calc Smart'!D272,'Calc Avalanche'!D272,'Calc Snowball'!D272,'Calc Cashflow'!D272)</f>
        <v/>
      </c>
      <c r="H266" s="65">
        <f>CHOOSE(Plan!$K$5,'Calc Smart'!E272,'Calc Avalanche'!E272,'Calc Snowball'!E272,'Calc Cashflow'!E272)</f>
        <v/>
      </c>
      <c r="I266" s="65">
        <f>CHOOSE(Plan!$K$5,'Calc Smart'!F272,'Calc Avalanche'!F272,'Calc Snowball'!F272,'Calc Cashflow'!F272)</f>
        <v/>
      </c>
      <c r="J266" s="65">
        <f>CHOOSE(Plan!$K$5,'Calc Smart'!G272,'Calc Avalanche'!G272,'Calc Snowball'!G272,'Calc Cashflow'!G272)</f>
        <v/>
      </c>
      <c r="K266" s="65">
        <f>CHOOSE(Plan!$K$5,'Calc Smart'!H272,'Calc Avalanche'!H272,'Calc Snowball'!H272,'Calc Cashflow'!H272)</f>
        <v/>
      </c>
      <c r="L266" s="65">
        <f>CHOOSE(Plan!$K$5,'Calc Smart'!I272,'Calc Avalanche'!I272,'Calc Snowball'!I272,'Calc Cashflow'!I272)</f>
        <v/>
      </c>
      <c r="M266" s="65">
        <f>CHOOSE(Plan!$K$5,'Calc Smart'!J272,'Calc Avalanche'!J272,'Calc Snowball'!J272,'Calc Cashflow'!J272)</f>
        <v/>
      </c>
      <c r="N266" s="65">
        <f>CHOOSE(Plan!$K$5,'Calc Smart'!K272,'Calc Avalanche'!K272,'Calc Snowball'!K272,'Calc Cashflow'!K272)</f>
        <v/>
      </c>
      <c r="O266" s="65">
        <f>CHOOSE(Plan!$K$5,'Calc Smart'!L272,'Calc Avalanche'!L272,'Calc Snowball'!L272,'Calc Cashflow'!L272)</f>
        <v/>
      </c>
      <c r="P266" s="65">
        <f>CHOOSE(Plan!$K$5,'Calc Smart'!M272,'Calc Avalanche'!M272,'Calc Snowball'!M272,'Calc Cashflow'!M272)</f>
        <v/>
      </c>
      <c r="Q266" s="65">
        <f>CHOOSE(Plan!$K$5,'Calc Smart'!N272,'Calc Avalanche'!N272,'Calc Snowball'!N272,'Calc Cashflow'!N272)</f>
        <v/>
      </c>
    </row>
    <row r="267">
      <c r="B267" s="66">
        <f>EDATE(Plan!$C$6,261)</f>
        <v/>
      </c>
      <c r="C267" s="32">
        <f>CHOOSE(Plan!$K$5,'Calc Smart'!AE273,'Calc Avalanche'!AE273,'Calc Snowball'!AE273,'Calc Cashflow'!AE273)</f>
        <v/>
      </c>
      <c r="D267" s="32">
        <f>CHOOSE(Plan!$K$5,'Calc Smart'!AD273,'Calc Avalanche'!AD273,'Calc Snowball'!AD273,'Calc Cashflow'!AD273)</f>
        <v/>
      </c>
      <c r="E267" s="43">
        <f>CHOOSE(Plan!$K$5,COUNTIF('Calc Smart'!C273:N273,"&gt;0"),COUNTIF('Calc Avalanche'!C273:N273,"&gt;0"),COUNTIF('Calc Snowball'!C273:N273,"&gt;0"),COUNTIF('Calc Cashflow'!C273:N273,"&gt;0"))</f>
        <v/>
      </c>
      <c r="F267" s="67">
        <f>CHOOSE(Plan!$K$5,'Calc Smart'!C273,'Calc Avalanche'!C273,'Calc Snowball'!C273,'Calc Cashflow'!C273)</f>
        <v/>
      </c>
      <c r="G267" s="67">
        <f>CHOOSE(Plan!$K$5,'Calc Smart'!D273,'Calc Avalanche'!D273,'Calc Snowball'!D273,'Calc Cashflow'!D273)</f>
        <v/>
      </c>
      <c r="H267" s="67">
        <f>CHOOSE(Plan!$K$5,'Calc Smart'!E273,'Calc Avalanche'!E273,'Calc Snowball'!E273,'Calc Cashflow'!E273)</f>
        <v/>
      </c>
      <c r="I267" s="67">
        <f>CHOOSE(Plan!$K$5,'Calc Smart'!F273,'Calc Avalanche'!F273,'Calc Snowball'!F273,'Calc Cashflow'!F273)</f>
        <v/>
      </c>
      <c r="J267" s="67">
        <f>CHOOSE(Plan!$K$5,'Calc Smart'!G273,'Calc Avalanche'!G273,'Calc Snowball'!G273,'Calc Cashflow'!G273)</f>
        <v/>
      </c>
      <c r="K267" s="67">
        <f>CHOOSE(Plan!$K$5,'Calc Smart'!H273,'Calc Avalanche'!H273,'Calc Snowball'!H273,'Calc Cashflow'!H273)</f>
        <v/>
      </c>
      <c r="L267" s="67">
        <f>CHOOSE(Plan!$K$5,'Calc Smart'!I273,'Calc Avalanche'!I273,'Calc Snowball'!I273,'Calc Cashflow'!I273)</f>
        <v/>
      </c>
      <c r="M267" s="67">
        <f>CHOOSE(Plan!$K$5,'Calc Smart'!J273,'Calc Avalanche'!J273,'Calc Snowball'!J273,'Calc Cashflow'!J273)</f>
        <v/>
      </c>
      <c r="N267" s="67">
        <f>CHOOSE(Plan!$K$5,'Calc Smart'!K273,'Calc Avalanche'!K273,'Calc Snowball'!K273,'Calc Cashflow'!K273)</f>
        <v/>
      </c>
      <c r="O267" s="67">
        <f>CHOOSE(Plan!$K$5,'Calc Smart'!L273,'Calc Avalanche'!L273,'Calc Snowball'!L273,'Calc Cashflow'!L273)</f>
        <v/>
      </c>
      <c r="P267" s="67">
        <f>CHOOSE(Plan!$K$5,'Calc Smart'!M273,'Calc Avalanche'!M273,'Calc Snowball'!M273,'Calc Cashflow'!M273)</f>
        <v/>
      </c>
      <c r="Q267" s="67">
        <f>CHOOSE(Plan!$K$5,'Calc Smart'!N273,'Calc Avalanche'!N273,'Calc Snowball'!N273,'Calc Cashflow'!N273)</f>
        <v/>
      </c>
    </row>
    <row r="268">
      <c r="B268" s="64">
        <f>EDATE(Plan!$C$6,262)</f>
        <v/>
      </c>
      <c r="C268" s="31">
        <f>CHOOSE(Plan!$K$5,'Calc Smart'!AE274,'Calc Avalanche'!AE274,'Calc Snowball'!AE274,'Calc Cashflow'!AE274)</f>
        <v/>
      </c>
      <c r="D268" s="31">
        <f>CHOOSE(Plan!$K$5,'Calc Smart'!AD274,'Calc Avalanche'!AD274,'Calc Snowball'!AD274,'Calc Cashflow'!AD274)</f>
        <v/>
      </c>
      <c r="E268" s="40">
        <f>CHOOSE(Plan!$K$5,COUNTIF('Calc Smart'!C274:N274,"&gt;0"),COUNTIF('Calc Avalanche'!C274:N274,"&gt;0"),COUNTIF('Calc Snowball'!C274:N274,"&gt;0"),COUNTIF('Calc Cashflow'!C274:N274,"&gt;0"))</f>
        <v/>
      </c>
      <c r="F268" s="65">
        <f>CHOOSE(Plan!$K$5,'Calc Smart'!C274,'Calc Avalanche'!C274,'Calc Snowball'!C274,'Calc Cashflow'!C274)</f>
        <v/>
      </c>
      <c r="G268" s="65">
        <f>CHOOSE(Plan!$K$5,'Calc Smart'!D274,'Calc Avalanche'!D274,'Calc Snowball'!D274,'Calc Cashflow'!D274)</f>
        <v/>
      </c>
      <c r="H268" s="65">
        <f>CHOOSE(Plan!$K$5,'Calc Smart'!E274,'Calc Avalanche'!E274,'Calc Snowball'!E274,'Calc Cashflow'!E274)</f>
        <v/>
      </c>
      <c r="I268" s="65">
        <f>CHOOSE(Plan!$K$5,'Calc Smart'!F274,'Calc Avalanche'!F274,'Calc Snowball'!F274,'Calc Cashflow'!F274)</f>
        <v/>
      </c>
      <c r="J268" s="65">
        <f>CHOOSE(Plan!$K$5,'Calc Smart'!G274,'Calc Avalanche'!G274,'Calc Snowball'!G274,'Calc Cashflow'!G274)</f>
        <v/>
      </c>
      <c r="K268" s="65">
        <f>CHOOSE(Plan!$K$5,'Calc Smart'!H274,'Calc Avalanche'!H274,'Calc Snowball'!H274,'Calc Cashflow'!H274)</f>
        <v/>
      </c>
      <c r="L268" s="65">
        <f>CHOOSE(Plan!$K$5,'Calc Smart'!I274,'Calc Avalanche'!I274,'Calc Snowball'!I274,'Calc Cashflow'!I274)</f>
        <v/>
      </c>
      <c r="M268" s="65">
        <f>CHOOSE(Plan!$K$5,'Calc Smart'!J274,'Calc Avalanche'!J274,'Calc Snowball'!J274,'Calc Cashflow'!J274)</f>
        <v/>
      </c>
      <c r="N268" s="65">
        <f>CHOOSE(Plan!$K$5,'Calc Smart'!K274,'Calc Avalanche'!K274,'Calc Snowball'!K274,'Calc Cashflow'!K274)</f>
        <v/>
      </c>
      <c r="O268" s="65">
        <f>CHOOSE(Plan!$K$5,'Calc Smart'!L274,'Calc Avalanche'!L274,'Calc Snowball'!L274,'Calc Cashflow'!L274)</f>
        <v/>
      </c>
      <c r="P268" s="65">
        <f>CHOOSE(Plan!$K$5,'Calc Smart'!M274,'Calc Avalanche'!M274,'Calc Snowball'!M274,'Calc Cashflow'!M274)</f>
        <v/>
      </c>
      <c r="Q268" s="65">
        <f>CHOOSE(Plan!$K$5,'Calc Smart'!N274,'Calc Avalanche'!N274,'Calc Snowball'!N274,'Calc Cashflow'!N274)</f>
        <v/>
      </c>
    </row>
    <row r="269">
      <c r="B269" s="66">
        <f>EDATE(Plan!$C$6,263)</f>
        <v/>
      </c>
      <c r="C269" s="32">
        <f>CHOOSE(Plan!$K$5,'Calc Smart'!AE275,'Calc Avalanche'!AE275,'Calc Snowball'!AE275,'Calc Cashflow'!AE275)</f>
        <v/>
      </c>
      <c r="D269" s="32">
        <f>CHOOSE(Plan!$K$5,'Calc Smart'!AD275,'Calc Avalanche'!AD275,'Calc Snowball'!AD275,'Calc Cashflow'!AD275)</f>
        <v/>
      </c>
      <c r="E269" s="43">
        <f>CHOOSE(Plan!$K$5,COUNTIF('Calc Smart'!C275:N275,"&gt;0"),COUNTIF('Calc Avalanche'!C275:N275,"&gt;0"),COUNTIF('Calc Snowball'!C275:N275,"&gt;0"),COUNTIF('Calc Cashflow'!C275:N275,"&gt;0"))</f>
        <v/>
      </c>
      <c r="F269" s="67">
        <f>CHOOSE(Plan!$K$5,'Calc Smart'!C275,'Calc Avalanche'!C275,'Calc Snowball'!C275,'Calc Cashflow'!C275)</f>
        <v/>
      </c>
      <c r="G269" s="67">
        <f>CHOOSE(Plan!$K$5,'Calc Smart'!D275,'Calc Avalanche'!D275,'Calc Snowball'!D275,'Calc Cashflow'!D275)</f>
        <v/>
      </c>
      <c r="H269" s="67">
        <f>CHOOSE(Plan!$K$5,'Calc Smart'!E275,'Calc Avalanche'!E275,'Calc Snowball'!E275,'Calc Cashflow'!E275)</f>
        <v/>
      </c>
      <c r="I269" s="67">
        <f>CHOOSE(Plan!$K$5,'Calc Smart'!F275,'Calc Avalanche'!F275,'Calc Snowball'!F275,'Calc Cashflow'!F275)</f>
        <v/>
      </c>
      <c r="J269" s="67">
        <f>CHOOSE(Plan!$K$5,'Calc Smart'!G275,'Calc Avalanche'!G275,'Calc Snowball'!G275,'Calc Cashflow'!G275)</f>
        <v/>
      </c>
      <c r="K269" s="67">
        <f>CHOOSE(Plan!$K$5,'Calc Smart'!H275,'Calc Avalanche'!H275,'Calc Snowball'!H275,'Calc Cashflow'!H275)</f>
        <v/>
      </c>
      <c r="L269" s="67">
        <f>CHOOSE(Plan!$K$5,'Calc Smart'!I275,'Calc Avalanche'!I275,'Calc Snowball'!I275,'Calc Cashflow'!I275)</f>
        <v/>
      </c>
      <c r="M269" s="67">
        <f>CHOOSE(Plan!$K$5,'Calc Smart'!J275,'Calc Avalanche'!J275,'Calc Snowball'!J275,'Calc Cashflow'!J275)</f>
        <v/>
      </c>
      <c r="N269" s="67">
        <f>CHOOSE(Plan!$K$5,'Calc Smart'!K275,'Calc Avalanche'!K275,'Calc Snowball'!K275,'Calc Cashflow'!K275)</f>
        <v/>
      </c>
      <c r="O269" s="67">
        <f>CHOOSE(Plan!$K$5,'Calc Smart'!L275,'Calc Avalanche'!L275,'Calc Snowball'!L275,'Calc Cashflow'!L275)</f>
        <v/>
      </c>
      <c r="P269" s="67">
        <f>CHOOSE(Plan!$K$5,'Calc Smart'!M275,'Calc Avalanche'!M275,'Calc Snowball'!M275,'Calc Cashflow'!M275)</f>
        <v/>
      </c>
      <c r="Q269" s="67">
        <f>CHOOSE(Plan!$K$5,'Calc Smart'!N275,'Calc Avalanche'!N275,'Calc Snowball'!N275,'Calc Cashflow'!N275)</f>
        <v/>
      </c>
    </row>
    <row r="270">
      <c r="B270" s="64">
        <f>EDATE(Plan!$C$6,264)</f>
        <v/>
      </c>
      <c r="C270" s="31">
        <f>CHOOSE(Plan!$K$5,'Calc Smart'!AE276,'Calc Avalanche'!AE276,'Calc Snowball'!AE276,'Calc Cashflow'!AE276)</f>
        <v/>
      </c>
      <c r="D270" s="31">
        <f>CHOOSE(Plan!$K$5,'Calc Smart'!AD276,'Calc Avalanche'!AD276,'Calc Snowball'!AD276,'Calc Cashflow'!AD276)</f>
        <v/>
      </c>
      <c r="E270" s="40">
        <f>CHOOSE(Plan!$K$5,COUNTIF('Calc Smart'!C276:N276,"&gt;0"),COUNTIF('Calc Avalanche'!C276:N276,"&gt;0"),COUNTIF('Calc Snowball'!C276:N276,"&gt;0"),COUNTIF('Calc Cashflow'!C276:N276,"&gt;0"))</f>
        <v/>
      </c>
      <c r="F270" s="65">
        <f>CHOOSE(Plan!$K$5,'Calc Smart'!C276,'Calc Avalanche'!C276,'Calc Snowball'!C276,'Calc Cashflow'!C276)</f>
        <v/>
      </c>
      <c r="G270" s="65">
        <f>CHOOSE(Plan!$K$5,'Calc Smart'!D276,'Calc Avalanche'!D276,'Calc Snowball'!D276,'Calc Cashflow'!D276)</f>
        <v/>
      </c>
      <c r="H270" s="65">
        <f>CHOOSE(Plan!$K$5,'Calc Smart'!E276,'Calc Avalanche'!E276,'Calc Snowball'!E276,'Calc Cashflow'!E276)</f>
        <v/>
      </c>
      <c r="I270" s="65">
        <f>CHOOSE(Plan!$K$5,'Calc Smart'!F276,'Calc Avalanche'!F276,'Calc Snowball'!F276,'Calc Cashflow'!F276)</f>
        <v/>
      </c>
      <c r="J270" s="65">
        <f>CHOOSE(Plan!$K$5,'Calc Smart'!G276,'Calc Avalanche'!G276,'Calc Snowball'!G276,'Calc Cashflow'!G276)</f>
        <v/>
      </c>
      <c r="K270" s="65">
        <f>CHOOSE(Plan!$K$5,'Calc Smart'!H276,'Calc Avalanche'!H276,'Calc Snowball'!H276,'Calc Cashflow'!H276)</f>
        <v/>
      </c>
      <c r="L270" s="65">
        <f>CHOOSE(Plan!$K$5,'Calc Smart'!I276,'Calc Avalanche'!I276,'Calc Snowball'!I276,'Calc Cashflow'!I276)</f>
        <v/>
      </c>
      <c r="M270" s="65">
        <f>CHOOSE(Plan!$K$5,'Calc Smart'!J276,'Calc Avalanche'!J276,'Calc Snowball'!J276,'Calc Cashflow'!J276)</f>
        <v/>
      </c>
      <c r="N270" s="65">
        <f>CHOOSE(Plan!$K$5,'Calc Smart'!K276,'Calc Avalanche'!K276,'Calc Snowball'!K276,'Calc Cashflow'!K276)</f>
        <v/>
      </c>
      <c r="O270" s="65">
        <f>CHOOSE(Plan!$K$5,'Calc Smart'!L276,'Calc Avalanche'!L276,'Calc Snowball'!L276,'Calc Cashflow'!L276)</f>
        <v/>
      </c>
      <c r="P270" s="65">
        <f>CHOOSE(Plan!$K$5,'Calc Smart'!M276,'Calc Avalanche'!M276,'Calc Snowball'!M276,'Calc Cashflow'!M276)</f>
        <v/>
      </c>
      <c r="Q270" s="65">
        <f>CHOOSE(Plan!$K$5,'Calc Smart'!N276,'Calc Avalanche'!N276,'Calc Snowball'!N276,'Calc Cashflow'!N276)</f>
        <v/>
      </c>
    </row>
    <row r="271">
      <c r="B271" s="66">
        <f>EDATE(Plan!$C$6,265)</f>
        <v/>
      </c>
      <c r="C271" s="32">
        <f>CHOOSE(Plan!$K$5,'Calc Smart'!AE277,'Calc Avalanche'!AE277,'Calc Snowball'!AE277,'Calc Cashflow'!AE277)</f>
        <v/>
      </c>
      <c r="D271" s="32">
        <f>CHOOSE(Plan!$K$5,'Calc Smart'!AD277,'Calc Avalanche'!AD277,'Calc Snowball'!AD277,'Calc Cashflow'!AD277)</f>
        <v/>
      </c>
      <c r="E271" s="43">
        <f>CHOOSE(Plan!$K$5,COUNTIF('Calc Smart'!C277:N277,"&gt;0"),COUNTIF('Calc Avalanche'!C277:N277,"&gt;0"),COUNTIF('Calc Snowball'!C277:N277,"&gt;0"),COUNTIF('Calc Cashflow'!C277:N277,"&gt;0"))</f>
        <v/>
      </c>
      <c r="F271" s="67">
        <f>CHOOSE(Plan!$K$5,'Calc Smart'!C277,'Calc Avalanche'!C277,'Calc Snowball'!C277,'Calc Cashflow'!C277)</f>
        <v/>
      </c>
      <c r="G271" s="67">
        <f>CHOOSE(Plan!$K$5,'Calc Smart'!D277,'Calc Avalanche'!D277,'Calc Snowball'!D277,'Calc Cashflow'!D277)</f>
        <v/>
      </c>
      <c r="H271" s="67">
        <f>CHOOSE(Plan!$K$5,'Calc Smart'!E277,'Calc Avalanche'!E277,'Calc Snowball'!E277,'Calc Cashflow'!E277)</f>
        <v/>
      </c>
      <c r="I271" s="67">
        <f>CHOOSE(Plan!$K$5,'Calc Smart'!F277,'Calc Avalanche'!F277,'Calc Snowball'!F277,'Calc Cashflow'!F277)</f>
        <v/>
      </c>
      <c r="J271" s="67">
        <f>CHOOSE(Plan!$K$5,'Calc Smart'!G277,'Calc Avalanche'!G277,'Calc Snowball'!G277,'Calc Cashflow'!G277)</f>
        <v/>
      </c>
      <c r="K271" s="67">
        <f>CHOOSE(Plan!$K$5,'Calc Smart'!H277,'Calc Avalanche'!H277,'Calc Snowball'!H277,'Calc Cashflow'!H277)</f>
        <v/>
      </c>
      <c r="L271" s="67">
        <f>CHOOSE(Plan!$K$5,'Calc Smart'!I277,'Calc Avalanche'!I277,'Calc Snowball'!I277,'Calc Cashflow'!I277)</f>
        <v/>
      </c>
      <c r="M271" s="67">
        <f>CHOOSE(Plan!$K$5,'Calc Smart'!J277,'Calc Avalanche'!J277,'Calc Snowball'!J277,'Calc Cashflow'!J277)</f>
        <v/>
      </c>
      <c r="N271" s="67">
        <f>CHOOSE(Plan!$K$5,'Calc Smart'!K277,'Calc Avalanche'!K277,'Calc Snowball'!K277,'Calc Cashflow'!K277)</f>
        <v/>
      </c>
      <c r="O271" s="67">
        <f>CHOOSE(Plan!$K$5,'Calc Smart'!L277,'Calc Avalanche'!L277,'Calc Snowball'!L277,'Calc Cashflow'!L277)</f>
        <v/>
      </c>
      <c r="P271" s="67">
        <f>CHOOSE(Plan!$K$5,'Calc Smart'!M277,'Calc Avalanche'!M277,'Calc Snowball'!M277,'Calc Cashflow'!M277)</f>
        <v/>
      </c>
      <c r="Q271" s="67">
        <f>CHOOSE(Plan!$K$5,'Calc Smart'!N277,'Calc Avalanche'!N277,'Calc Snowball'!N277,'Calc Cashflow'!N277)</f>
        <v/>
      </c>
    </row>
    <row r="272">
      <c r="B272" s="64">
        <f>EDATE(Plan!$C$6,266)</f>
        <v/>
      </c>
      <c r="C272" s="31">
        <f>CHOOSE(Plan!$K$5,'Calc Smart'!AE278,'Calc Avalanche'!AE278,'Calc Snowball'!AE278,'Calc Cashflow'!AE278)</f>
        <v/>
      </c>
      <c r="D272" s="31">
        <f>CHOOSE(Plan!$K$5,'Calc Smart'!AD278,'Calc Avalanche'!AD278,'Calc Snowball'!AD278,'Calc Cashflow'!AD278)</f>
        <v/>
      </c>
      <c r="E272" s="40">
        <f>CHOOSE(Plan!$K$5,COUNTIF('Calc Smart'!C278:N278,"&gt;0"),COUNTIF('Calc Avalanche'!C278:N278,"&gt;0"),COUNTIF('Calc Snowball'!C278:N278,"&gt;0"),COUNTIF('Calc Cashflow'!C278:N278,"&gt;0"))</f>
        <v/>
      </c>
      <c r="F272" s="65">
        <f>CHOOSE(Plan!$K$5,'Calc Smart'!C278,'Calc Avalanche'!C278,'Calc Snowball'!C278,'Calc Cashflow'!C278)</f>
        <v/>
      </c>
      <c r="G272" s="65">
        <f>CHOOSE(Plan!$K$5,'Calc Smart'!D278,'Calc Avalanche'!D278,'Calc Snowball'!D278,'Calc Cashflow'!D278)</f>
        <v/>
      </c>
      <c r="H272" s="65">
        <f>CHOOSE(Plan!$K$5,'Calc Smart'!E278,'Calc Avalanche'!E278,'Calc Snowball'!E278,'Calc Cashflow'!E278)</f>
        <v/>
      </c>
      <c r="I272" s="65">
        <f>CHOOSE(Plan!$K$5,'Calc Smart'!F278,'Calc Avalanche'!F278,'Calc Snowball'!F278,'Calc Cashflow'!F278)</f>
        <v/>
      </c>
      <c r="J272" s="65">
        <f>CHOOSE(Plan!$K$5,'Calc Smart'!G278,'Calc Avalanche'!G278,'Calc Snowball'!G278,'Calc Cashflow'!G278)</f>
        <v/>
      </c>
      <c r="K272" s="65">
        <f>CHOOSE(Plan!$K$5,'Calc Smart'!H278,'Calc Avalanche'!H278,'Calc Snowball'!H278,'Calc Cashflow'!H278)</f>
        <v/>
      </c>
      <c r="L272" s="65">
        <f>CHOOSE(Plan!$K$5,'Calc Smart'!I278,'Calc Avalanche'!I278,'Calc Snowball'!I278,'Calc Cashflow'!I278)</f>
        <v/>
      </c>
      <c r="M272" s="65">
        <f>CHOOSE(Plan!$K$5,'Calc Smart'!J278,'Calc Avalanche'!J278,'Calc Snowball'!J278,'Calc Cashflow'!J278)</f>
        <v/>
      </c>
      <c r="N272" s="65">
        <f>CHOOSE(Plan!$K$5,'Calc Smart'!K278,'Calc Avalanche'!K278,'Calc Snowball'!K278,'Calc Cashflow'!K278)</f>
        <v/>
      </c>
      <c r="O272" s="65">
        <f>CHOOSE(Plan!$K$5,'Calc Smart'!L278,'Calc Avalanche'!L278,'Calc Snowball'!L278,'Calc Cashflow'!L278)</f>
        <v/>
      </c>
      <c r="P272" s="65">
        <f>CHOOSE(Plan!$K$5,'Calc Smart'!M278,'Calc Avalanche'!M278,'Calc Snowball'!M278,'Calc Cashflow'!M278)</f>
        <v/>
      </c>
      <c r="Q272" s="65">
        <f>CHOOSE(Plan!$K$5,'Calc Smart'!N278,'Calc Avalanche'!N278,'Calc Snowball'!N278,'Calc Cashflow'!N278)</f>
        <v/>
      </c>
    </row>
    <row r="273">
      <c r="B273" s="66">
        <f>EDATE(Plan!$C$6,267)</f>
        <v/>
      </c>
      <c r="C273" s="32">
        <f>CHOOSE(Plan!$K$5,'Calc Smart'!AE279,'Calc Avalanche'!AE279,'Calc Snowball'!AE279,'Calc Cashflow'!AE279)</f>
        <v/>
      </c>
      <c r="D273" s="32">
        <f>CHOOSE(Plan!$K$5,'Calc Smart'!AD279,'Calc Avalanche'!AD279,'Calc Snowball'!AD279,'Calc Cashflow'!AD279)</f>
        <v/>
      </c>
      <c r="E273" s="43">
        <f>CHOOSE(Plan!$K$5,COUNTIF('Calc Smart'!C279:N279,"&gt;0"),COUNTIF('Calc Avalanche'!C279:N279,"&gt;0"),COUNTIF('Calc Snowball'!C279:N279,"&gt;0"),COUNTIF('Calc Cashflow'!C279:N279,"&gt;0"))</f>
        <v/>
      </c>
      <c r="F273" s="67">
        <f>CHOOSE(Plan!$K$5,'Calc Smart'!C279,'Calc Avalanche'!C279,'Calc Snowball'!C279,'Calc Cashflow'!C279)</f>
        <v/>
      </c>
      <c r="G273" s="67">
        <f>CHOOSE(Plan!$K$5,'Calc Smart'!D279,'Calc Avalanche'!D279,'Calc Snowball'!D279,'Calc Cashflow'!D279)</f>
        <v/>
      </c>
      <c r="H273" s="67">
        <f>CHOOSE(Plan!$K$5,'Calc Smart'!E279,'Calc Avalanche'!E279,'Calc Snowball'!E279,'Calc Cashflow'!E279)</f>
        <v/>
      </c>
      <c r="I273" s="67">
        <f>CHOOSE(Plan!$K$5,'Calc Smart'!F279,'Calc Avalanche'!F279,'Calc Snowball'!F279,'Calc Cashflow'!F279)</f>
        <v/>
      </c>
      <c r="J273" s="67">
        <f>CHOOSE(Plan!$K$5,'Calc Smart'!G279,'Calc Avalanche'!G279,'Calc Snowball'!G279,'Calc Cashflow'!G279)</f>
        <v/>
      </c>
      <c r="K273" s="67">
        <f>CHOOSE(Plan!$K$5,'Calc Smart'!H279,'Calc Avalanche'!H279,'Calc Snowball'!H279,'Calc Cashflow'!H279)</f>
        <v/>
      </c>
      <c r="L273" s="67">
        <f>CHOOSE(Plan!$K$5,'Calc Smart'!I279,'Calc Avalanche'!I279,'Calc Snowball'!I279,'Calc Cashflow'!I279)</f>
        <v/>
      </c>
      <c r="M273" s="67">
        <f>CHOOSE(Plan!$K$5,'Calc Smart'!J279,'Calc Avalanche'!J279,'Calc Snowball'!J279,'Calc Cashflow'!J279)</f>
        <v/>
      </c>
      <c r="N273" s="67">
        <f>CHOOSE(Plan!$K$5,'Calc Smart'!K279,'Calc Avalanche'!K279,'Calc Snowball'!K279,'Calc Cashflow'!K279)</f>
        <v/>
      </c>
      <c r="O273" s="67">
        <f>CHOOSE(Plan!$K$5,'Calc Smart'!L279,'Calc Avalanche'!L279,'Calc Snowball'!L279,'Calc Cashflow'!L279)</f>
        <v/>
      </c>
      <c r="P273" s="67">
        <f>CHOOSE(Plan!$K$5,'Calc Smart'!M279,'Calc Avalanche'!M279,'Calc Snowball'!M279,'Calc Cashflow'!M279)</f>
        <v/>
      </c>
      <c r="Q273" s="67">
        <f>CHOOSE(Plan!$K$5,'Calc Smart'!N279,'Calc Avalanche'!N279,'Calc Snowball'!N279,'Calc Cashflow'!N279)</f>
        <v/>
      </c>
    </row>
    <row r="274">
      <c r="B274" s="64">
        <f>EDATE(Plan!$C$6,268)</f>
        <v/>
      </c>
      <c r="C274" s="31">
        <f>CHOOSE(Plan!$K$5,'Calc Smart'!AE280,'Calc Avalanche'!AE280,'Calc Snowball'!AE280,'Calc Cashflow'!AE280)</f>
        <v/>
      </c>
      <c r="D274" s="31">
        <f>CHOOSE(Plan!$K$5,'Calc Smart'!AD280,'Calc Avalanche'!AD280,'Calc Snowball'!AD280,'Calc Cashflow'!AD280)</f>
        <v/>
      </c>
      <c r="E274" s="40">
        <f>CHOOSE(Plan!$K$5,COUNTIF('Calc Smart'!C280:N280,"&gt;0"),COUNTIF('Calc Avalanche'!C280:N280,"&gt;0"),COUNTIF('Calc Snowball'!C280:N280,"&gt;0"),COUNTIF('Calc Cashflow'!C280:N280,"&gt;0"))</f>
        <v/>
      </c>
      <c r="F274" s="65">
        <f>CHOOSE(Plan!$K$5,'Calc Smart'!C280,'Calc Avalanche'!C280,'Calc Snowball'!C280,'Calc Cashflow'!C280)</f>
        <v/>
      </c>
      <c r="G274" s="65">
        <f>CHOOSE(Plan!$K$5,'Calc Smart'!D280,'Calc Avalanche'!D280,'Calc Snowball'!D280,'Calc Cashflow'!D280)</f>
        <v/>
      </c>
      <c r="H274" s="65">
        <f>CHOOSE(Plan!$K$5,'Calc Smart'!E280,'Calc Avalanche'!E280,'Calc Snowball'!E280,'Calc Cashflow'!E280)</f>
        <v/>
      </c>
      <c r="I274" s="65">
        <f>CHOOSE(Plan!$K$5,'Calc Smart'!F280,'Calc Avalanche'!F280,'Calc Snowball'!F280,'Calc Cashflow'!F280)</f>
        <v/>
      </c>
      <c r="J274" s="65">
        <f>CHOOSE(Plan!$K$5,'Calc Smart'!G280,'Calc Avalanche'!G280,'Calc Snowball'!G280,'Calc Cashflow'!G280)</f>
        <v/>
      </c>
      <c r="K274" s="65">
        <f>CHOOSE(Plan!$K$5,'Calc Smart'!H280,'Calc Avalanche'!H280,'Calc Snowball'!H280,'Calc Cashflow'!H280)</f>
        <v/>
      </c>
      <c r="L274" s="65">
        <f>CHOOSE(Plan!$K$5,'Calc Smart'!I280,'Calc Avalanche'!I280,'Calc Snowball'!I280,'Calc Cashflow'!I280)</f>
        <v/>
      </c>
      <c r="M274" s="65">
        <f>CHOOSE(Plan!$K$5,'Calc Smart'!J280,'Calc Avalanche'!J280,'Calc Snowball'!J280,'Calc Cashflow'!J280)</f>
        <v/>
      </c>
      <c r="N274" s="65">
        <f>CHOOSE(Plan!$K$5,'Calc Smart'!K280,'Calc Avalanche'!K280,'Calc Snowball'!K280,'Calc Cashflow'!K280)</f>
        <v/>
      </c>
      <c r="O274" s="65">
        <f>CHOOSE(Plan!$K$5,'Calc Smart'!L280,'Calc Avalanche'!L280,'Calc Snowball'!L280,'Calc Cashflow'!L280)</f>
        <v/>
      </c>
      <c r="P274" s="65">
        <f>CHOOSE(Plan!$K$5,'Calc Smart'!M280,'Calc Avalanche'!M280,'Calc Snowball'!M280,'Calc Cashflow'!M280)</f>
        <v/>
      </c>
      <c r="Q274" s="65">
        <f>CHOOSE(Plan!$K$5,'Calc Smart'!N280,'Calc Avalanche'!N280,'Calc Snowball'!N280,'Calc Cashflow'!N280)</f>
        <v/>
      </c>
    </row>
    <row r="275">
      <c r="B275" s="66">
        <f>EDATE(Plan!$C$6,269)</f>
        <v/>
      </c>
      <c r="C275" s="32">
        <f>CHOOSE(Plan!$K$5,'Calc Smart'!AE281,'Calc Avalanche'!AE281,'Calc Snowball'!AE281,'Calc Cashflow'!AE281)</f>
        <v/>
      </c>
      <c r="D275" s="32">
        <f>CHOOSE(Plan!$K$5,'Calc Smart'!AD281,'Calc Avalanche'!AD281,'Calc Snowball'!AD281,'Calc Cashflow'!AD281)</f>
        <v/>
      </c>
      <c r="E275" s="43">
        <f>CHOOSE(Plan!$K$5,COUNTIF('Calc Smart'!C281:N281,"&gt;0"),COUNTIF('Calc Avalanche'!C281:N281,"&gt;0"),COUNTIF('Calc Snowball'!C281:N281,"&gt;0"),COUNTIF('Calc Cashflow'!C281:N281,"&gt;0"))</f>
        <v/>
      </c>
      <c r="F275" s="67">
        <f>CHOOSE(Plan!$K$5,'Calc Smart'!C281,'Calc Avalanche'!C281,'Calc Snowball'!C281,'Calc Cashflow'!C281)</f>
        <v/>
      </c>
      <c r="G275" s="67">
        <f>CHOOSE(Plan!$K$5,'Calc Smart'!D281,'Calc Avalanche'!D281,'Calc Snowball'!D281,'Calc Cashflow'!D281)</f>
        <v/>
      </c>
      <c r="H275" s="67">
        <f>CHOOSE(Plan!$K$5,'Calc Smart'!E281,'Calc Avalanche'!E281,'Calc Snowball'!E281,'Calc Cashflow'!E281)</f>
        <v/>
      </c>
      <c r="I275" s="67">
        <f>CHOOSE(Plan!$K$5,'Calc Smart'!F281,'Calc Avalanche'!F281,'Calc Snowball'!F281,'Calc Cashflow'!F281)</f>
        <v/>
      </c>
      <c r="J275" s="67">
        <f>CHOOSE(Plan!$K$5,'Calc Smart'!G281,'Calc Avalanche'!G281,'Calc Snowball'!G281,'Calc Cashflow'!G281)</f>
        <v/>
      </c>
      <c r="K275" s="67">
        <f>CHOOSE(Plan!$K$5,'Calc Smart'!H281,'Calc Avalanche'!H281,'Calc Snowball'!H281,'Calc Cashflow'!H281)</f>
        <v/>
      </c>
      <c r="L275" s="67">
        <f>CHOOSE(Plan!$K$5,'Calc Smart'!I281,'Calc Avalanche'!I281,'Calc Snowball'!I281,'Calc Cashflow'!I281)</f>
        <v/>
      </c>
      <c r="M275" s="67">
        <f>CHOOSE(Plan!$K$5,'Calc Smart'!J281,'Calc Avalanche'!J281,'Calc Snowball'!J281,'Calc Cashflow'!J281)</f>
        <v/>
      </c>
      <c r="N275" s="67">
        <f>CHOOSE(Plan!$K$5,'Calc Smart'!K281,'Calc Avalanche'!K281,'Calc Snowball'!K281,'Calc Cashflow'!K281)</f>
        <v/>
      </c>
      <c r="O275" s="67">
        <f>CHOOSE(Plan!$K$5,'Calc Smart'!L281,'Calc Avalanche'!L281,'Calc Snowball'!L281,'Calc Cashflow'!L281)</f>
        <v/>
      </c>
      <c r="P275" s="67">
        <f>CHOOSE(Plan!$K$5,'Calc Smart'!M281,'Calc Avalanche'!M281,'Calc Snowball'!M281,'Calc Cashflow'!M281)</f>
        <v/>
      </c>
      <c r="Q275" s="67">
        <f>CHOOSE(Plan!$K$5,'Calc Smart'!N281,'Calc Avalanche'!N281,'Calc Snowball'!N281,'Calc Cashflow'!N281)</f>
        <v/>
      </c>
    </row>
    <row r="276">
      <c r="B276" s="64">
        <f>EDATE(Plan!$C$6,270)</f>
        <v/>
      </c>
      <c r="C276" s="31">
        <f>CHOOSE(Plan!$K$5,'Calc Smart'!AE282,'Calc Avalanche'!AE282,'Calc Snowball'!AE282,'Calc Cashflow'!AE282)</f>
        <v/>
      </c>
      <c r="D276" s="31">
        <f>CHOOSE(Plan!$K$5,'Calc Smart'!AD282,'Calc Avalanche'!AD282,'Calc Snowball'!AD282,'Calc Cashflow'!AD282)</f>
        <v/>
      </c>
      <c r="E276" s="40">
        <f>CHOOSE(Plan!$K$5,COUNTIF('Calc Smart'!C282:N282,"&gt;0"),COUNTIF('Calc Avalanche'!C282:N282,"&gt;0"),COUNTIF('Calc Snowball'!C282:N282,"&gt;0"),COUNTIF('Calc Cashflow'!C282:N282,"&gt;0"))</f>
        <v/>
      </c>
      <c r="F276" s="65">
        <f>CHOOSE(Plan!$K$5,'Calc Smart'!C282,'Calc Avalanche'!C282,'Calc Snowball'!C282,'Calc Cashflow'!C282)</f>
        <v/>
      </c>
      <c r="G276" s="65">
        <f>CHOOSE(Plan!$K$5,'Calc Smart'!D282,'Calc Avalanche'!D282,'Calc Snowball'!D282,'Calc Cashflow'!D282)</f>
        <v/>
      </c>
      <c r="H276" s="65">
        <f>CHOOSE(Plan!$K$5,'Calc Smart'!E282,'Calc Avalanche'!E282,'Calc Snowball'!E282,'Calc Cashflow'!E282)</f>
        <v/>
      </c>
      <c r="I276" s="65">
        <f>CHOOSE(Plan!$K$5,'Calc Smart'!F282,'Calc Avalanche'!F282,'Calc Snowball'!F282,'Calc Cashflow'!F282)</f>
        <v/>
      </c>
      <c r="J276" s="65">
        <f>CHOOSE(Plan!$K$5,'Calc Smart'!G282,'Calc Avalanche'!G282,'Calc Snowball'!G282,'Calc Cashflow'!G282)</f>
        <v/>
      </c>
      <c r="K276" s="65">
        <f>CHOOSE(Plan!$K$5,'Calc Smart'!H282,'Calc Avalanche'!H282,'Calc Snowball'!H282,'Calc Cashflow'!H282)</f>
        <v/>
      </c>
      <c r="L276" s="65">
        <f>CHOOSE(Plan!$K$5,'Calc Smart'!I282,'Calc Avalanche'!I282,'Calc Snowball'!I282,'Calc Cashflow'!I282)</f>
        <v/>
      </c>
      <c r="M276" s="65">
        <f>CHOOSE(Plan!$K$5,'Calc Smart'!J282,'Calc Avalanche'!J282,'Calc Snowball'!J282,'Calc Cashflow'!J282)</f>
        <v/>
      </c>
      <c r="N276" s="65">
        <f>CHOOSE(Plan!$K$5,'Calc Smart'!K282,'Calc Avalanche'!K282,'Calc Snowball'!K282,'Calc Cashflow'!K282)</f>
        <v/>
      </c>
      <c r="O276" s="65">
        <f>CHOOSE(Plan!$K$5,'Calc Smart'!L282,'Calc Avalanche'!L282,'Calc Snowball'!L282,'Calc Cashflow'!L282)</f>
        <v/>
      </c>
      <c r="P276" s="65">
        <f>CHOOSE(Plan!$K$5,'Calc Smart'!M282,'Calc Avalanche'!M282,'Calc Snowball'!M282,'Calc Cashflow'!M282)</f>
        <v/>
      </c>
      <c r="Q276" s="65">
        <f>CHOOSE(Plan!$K$5,'Calc Smart'!N282,'Calc Avalanche'!N282,'Calc Snowball'!N282,'Calc Cashflow'!N282)</f>
        <v/>
      </c>
    </row>
    <row r="277">
      <c r="B277" s="66">
        <f>EDATE(Plan!$C$6,271)</f>
        <v/>
      </c>
      <c r="C277" s="32">
        <f>CHOOSE(Plan!$K$5,'Calc Smart'!AE283,'Calc Avalanche'!AE283,'Calc Snowball'!AE283,'Calc Cashflow'!AE283)</f>
        <v/>
      </c>
      <c r="D277" s="32">
        <f>CHOOSE(Plan!$K$5,'Calc Smart'!AD283,'Calc Avalanche'!AD283,'Calc Snowball'!AD283,'Calc Cashflow'!AD283)</f>
        <v/>
      </c>
      <c r="E277" s="43">
        <f>CHOOSE(Plan!$K$5,COUNTIF('Calc Smart'!C283:N283,"&gt;0"),COUNTIF('Calc Avalanche'!C283:N283,"&gt;0"),COUNTIF('Calc Snowball'!C283:N283,"&gt;0"),COUNTIF('Calc Cashflow'!C283:N283,"&gt;0"))</f>
        <v/>
      </c>
      <c r="F277" s="67">
        <f>CHOOSE(Plan!$K$5,'Calc Smart'!C283,'Calc Avalanche'!C283,'Calc Snowball'!C283,'Calc Cashflow'!C283)</f>
        <v/>
      </c>
      <c r="G277" s="67">
        <f>CHOOSE(Plan!$K$5,'Calc Smart'!D283,'Calc Avalanche'!D283,'Calc Snowball'!D283,'Calc Cashflow'!D283)</f>
        <v/>
      </c>
      <c r="H277" s="67">
        <f>CHOOSE(Plan!$K$5,'Calc Smart'!E283,'Calc Avalanche'!E283,'Calc Snowball'!E283,'Calc Cashflow'!E283)</f>
        <v/>
      </c>
      <c r="I277" s="67">
        <f>CHOOSE(Plan!$K$5,'Calc Smart'!F283,'Calc Avalanche'!F283,'Calc Snowball'!F283,'Calc Cashflow'!F283)</f>
        <v/>
      </c>
      <c r="J277" s="67">
        <f>CHOOSE(Plan!$K$5,'Calc Smart'!G283,'Calc Avalanche'!G283,'Calc Snowball'!G283,'Calc Cashflow'!G283)</f>
        <v/>
      </c>
      <c r="K277" s="67">
        <f>CHOOSE(Plan!$K$5,'Calc Smart'!H283,'Calc Avalanche'!H283,'Calc Snowball'!H283,'Calc Cashflow'!H283)</f>
        <v/>
      </c>
      <c r="L277" s="67">
        <f>CHOOSE(Plan!$K$5,'Calc Smart'!I283,'Calc Avalanche'!I283,'Calc Snowball'!I283,'Calc Cashflow'!I283)</f>
        <v/>
      </c>
      <c r="M277" s="67">
        <f>CHOOSE(Plan!$K$5,'Calc Smart'!J283,'Calc Avalanche'!J283,'Calc Snowball'!J283,'Calc Cashflow'!J283)</f>
        <v/>
      </c>
      <c r="N277" s="67">
        <f>CHOOSE(Plan!$K$5,'Calc Smart'!K283,'Calc Avalanche'!K283,'Calc Snowball'!K283,'Calc Cashflow'!K283)</f>
        <v/>
      </c>
      <c r="O277" s="67">
        <f>CHOOSE(Plan!$K$5,'Calc Smart'!L283,'Calc Avalanche'!L283,'Calc Snowball'!L283,'Calc Cashflow'!L283)</f>
        <v/>
      </c>
      <c r="P277" s="67">
        <f>CHOOSE(Plan!$K$5,'Calc Smart'!M283,'Calc Avalanche'!M283,'Calc Snowball'!M283,'Calc Cashflow'!M283)</f>
        <v/>
      </c>
      <c r="Q277" s="67">
        <f>CHOOSE(Plan!$K$5,'Calc Smart'!N283,'Calc Avalanche'!N283,'Calc Snowball'!N283,'Calc Cashflow'!N283)</f>
        <v/>
      </c>
    </row>
    <row r="278">
      <c r="B278" s="64">
        <f>EDATE(Plan!$C$6,272)</f>
        <v/>
      </c>
      <c r="C278" s="31">
        <f>CHOOSE(Plan!$K$5,'Calc Smart'!AE284,'Calc Avalanche'!AE284,'Calc Snowball'!AE284,'Calc Cashflow'!AE284)</f>
        <v/>
      </c>
      <c r="D278" s="31">
        <f>CHOOSE(Plan!$K$5,'Calc Smart'!AD284,'Calc Avalanche'!AD284,'Calc Snowball'!AD284,'Calc Cashflow'!AD284)</f>
        <v/>
      </c>
      <c r="E278" s="40">
        <f>CHOOSE(Plan!$K$5,COUNTIF('Calc Smart'!C284:N284,"&gt;0"),COUNTIF('Calc Avalanche'!C284:N284,"&gt;0"),COUNTIF('Calc Snowball'!C284:N284,"&gt;0"),COUNTIF('Calc Cashflow'!C284:N284,"&gt;0"))</f>
        <v/>
      </c>
      <c r="F278" s="65">
        <f>CHOOSE(Plan!$K$5,'Calc Smart'!C284,'Calc Avalanche'!C284,'Calc Snowball'!C284,'Calc Cashflow'!C284)</f>
        <v/>
      </c>
      <c r="G278" s="65">
        <f>CHOOSE(Plan!$K$5,'Calc Smart'!D284,'Calc Avalanche'!D284,'Calc Snowball'!D284,'Calc Cashflow'!D284)</f>
        <v/>
      </c>
      <c r="H278" s="65">
        <f>CHOOSE(Plan!$K$5,'Calc Smart'!E284,'Calc Avalanche'!E284,'Calc Snowball'!E284,'Calc Cashflow'!E284)</f>
        <v/>
      </c>
      <c r="I278" s="65">
        <f>CHOOSE(Plan!$K$5,'Calc Smart'!F284,'Calc Avalanche'!F284,'Calc Snowball'!F284,'Calc Cashflow'!F284)</f>
        <v/>
      </c>
      <c r="J278" s="65">
        <f>CHOOSE(Plan!$K$5,'Calc Smart'!G284,'Calc Avalanche'!G284,'Calc Snowball'!G284,'Calc Cashflow'!G284)</f>
        <v/>
      </c>
      <c r="K278" s="65">
        <f>CHOOSE(Plan!$K$5,'Calc Smart'!H284,'Calc Avalanche'!H284,'Calc Snowball'!H284,'Calc Cashflow'!H284)</f>
        <v/>
      </c>
      <c r="L278" s="65">
        <f>CHOOSE(Plan!$K$5,'Calc Smart'!I284,'Calc Avalanche'!I284,'Calc Snowball'!I284,'Calc Cashflow'!I284)</f>
        <v/>
      </c>
      <c r="M278" s="65">
        <f>CHOOSE(Plan!$K$5,'Calc Smart'!J284,'Calc Avalanche'!J284,'Calc Snowball'!J284,'Calc Cashflow'!J284)</f>
        <v/>
      </c>
      <c r="N278" s="65">
        <f>CHOOSE(Plan!$K$5,'Calc Smart'!K284,'Calc Avalanche'!K284,'Calc Snowball'!K284,'Calc Cashflow'!K284)</f>
        <v/>
      </c>
      <c r="O278" s="65">
        <f>CHOOSE(Plan!$K$5,'Calc Smart'!L284,'Calc Avalanche'!L284,'Calc Snowball'!L284,'Calc Cashflow'!L284)</f>
        <v/>
      </c>
      <c r="P278" s="65">
        <f>CHOOSE(Plan!$K$5,'Calc Smart'!M284,'Calc Avalanche'!M284,'Calc Snowball'!M284,'Calc Cashflow'!M284)</f>
        <v/>
      </c>
      <c r="Q278" s="65">
        <f>CHOOSE(Plan!$K$5,'Calc Smart'!N284,'Calc Avalanche'!N284,'Calc Snowball'!N284,'Calc Cashflow'!N284)</f>
        <v/>
      </c>
    </row>
    <row r="279">
      <c r="B279" s="66">
        <f>EDATE(Plan!$C$6,273)</f>
        <v/>
      </c>
      <c r="C279" s="32">
        <f>CHOOSE(Plan!$K$5,'Calc Smart'!AE285,'Calc Avalanche'!AE285,'Calc Snowball'!AE285,'Calc Cashflow'!AE285)</f>
        <v/>
      </c>
      <c r="D279" s="32">
        <f>CHOOSE(Plan!$K$5,'Calc Smart'!AD285,'Calc Avalanche'!AD285,'Calc Snowball'!AD285,'Calc Cashflow'!AD285)</f>
        <v/>
      </c>
      <c r="E279" s="43">
        <f>CHOOSE(Plan!$K$5,COUNTIF('Calc Smart'!C285:N285,"&gt;0"),COUNTIF('Calc Avalanche'!C285:N285,"&gt;0"),COUNTIF('Calc Snowball'!C285:N285,"&gt;0"),COUNTIF('Calc Cashflow'!C285:N285,"&gt;0"))</f>
        <v/>
      </c>
      <c r="F279" s="67">
        <f>CHOOSE(Plan!$K$5,'Calc Smart'!C285,'Calc Avalanche'!C285,'Calc Snowball'!C285,'Calc Cashflow'!C285)</f>
        <v/>
      </c>
      <c r="G279" s="67">
        <f>CHOOSE(Plan!$K$5,'Calc Smart'!D285,'Calc Avalanche'!D285,'Calc Snowball'!D285,'Calc Cashflow'!D285)</f>
        <v/>
      </c>
      <c r="H279" s="67">
        <f>CHOOSE(Plan!$K$5,'Calc Smart'!E285,'Calc Avalanche'!E285,'Calc Snowball'!E285,'Calc Cashflow'!E285)</f>
        <v/>
      </c>
      <c r="I279" s="67">
        <f>CHOOSE(Plan!$K$5,'Calc Smart'!F285,'Calc Avalanche'!F285,'Calc Snowball'!F285,'Calc Cashflow'!F285)</f>
        <v/>
      </c>
      <c r="J279" s="67">
        <f>CHOOSE(Plan!$K$5,'Calc Smart'!G285,'Calc Avalanche'!G285,'Calc Snowball'!G285,'Calc Cashflow'!G285)</f>
        <v/>
      </c>
      <c r="K279" s="67">
        <f>CHOOSE(Plan!$K$5,'Calc Smart'!H285,'Calc Avalanche'!H285,'Calc Snowball'!H285,'Calc Cashflow'!H285)</f>
        <v/>
      </c>
      <c r="L279" s="67">
        <f>CHOOSE(Plan!$K$5,'Calc Smart'!I285,'Calc Avalanche'!I285,'Calc Snowball'!I285,'Calc Cashflow'!I285)</f>
        <v/>
      </c>
      <c r="M279" s="67">
        <f>CHOOSE(Plan!$K$5,'Calc Smart'!J285,'Calc Avalanche'!J285,'Calc Snowball'!J285,'Calc Cashflow'!J285)</f>
        <v/>
      </c>
      <c r="N279" s="67">
        <f>CHOOSE(Plan!$K$5,'Calc Smart'!K285,'Calc Avalanche'!K285,'Calc Snowball'!K285,'Calc Cashflow'!K285)</f>
        <v/>
      </c>
      <c r="O279" s="67">
        <f>CHOOSE(Plan!$K$5,'Calc Smart'!L285,'Calc Avalanche'!L285,'Calc Snowball'!L285,'Calc Cashflow'!L285)</f>
        <v/>
      </c>
      <c r="P279" s="67">
        <f>CHOOSE(Plan!$K$5,'Calc Smart'!M285,'Calc Avalanche'!M285,'Calc Snowball'!M285,'Calc Cashflow'!M285)</f>
        <v/>
      </c>
      <c r="Q279" s="67">
        <f>CHOOSE(Plan!$K$5,'Calc Smart'!N285,'Calc Avalanche'!N285,'Calc Snowball'!N285,'Calc Cashflow'!N285)</f>
        <v/>
      </c>
    </row>
    <row r="280">
      <c r="B280" s="64">
        <f>EDATE(Plan!$C$6,274)</f>
        <v/>
      </c>
      <c r="C280" s="31">
        <f>CHOOSE(Plan!$K$5,'Calc Smart'!AE286,'Calc Avalanche'!AE286,'Calc Snowball'!AE286,'Calc Cashflow'!AE286)</f>
        <v/>
      </c>
      <c r="D280" s="31">
        <f>CHOOSE(Plan!$K$5,'Calc Smart'!AD286,'Calc Avalanche'!AD286,'Calc Snowball'!AD286,'Calc Cashflow'!AD286)</f>
        <v/>
      </c>
      <c r="E280" s="40">
        <f>CHOOSE(Plan!$K$5,COUNTIF('Calc Smart'!C286:N286,"&gt;0"),COUNTIF('Calc Avalanche'!C286:N286,"&gt;0"),COUNTIF('Calc Snowball'!C286:N286,"&gt;0"),COUNTIF('Calc Cashflow'!C286:N286,"&gt;0"))</f>
        <v/>
      </c>
      <c r="F280" s="65">
        <f>CHOOSE(Plan!$K$5,'Calc Smart'!C286,'Calc Avalanche'!C286,'Calc Snowball'!C286,'Calc Cashflow'!C286)</f>
        <v/>
      </c>
      <c r="G280" s="65">
        <f>CHOOSE(Plan!$K$5,'Calc Smart'!D286,'Calc Avalanche'!D286,'Calc Snowball'!D286,'Calc Cashflow'!D286)</f>
        <v/>
      </c>
      <c r="H280" s="65">
        <f>CHOOSE(Plan!$K$5,'Calc Smart'!E286,'Calc Avalanche'!E286,'Calc Snowball'!E286,'Calc Cashflow'!E286)</f>
        <v/>
      </c>
      <c r="I280" s="65">
        <f>CHOOSE(Plan!$K$5,'Calc Smart'!F286,'Calc Avalanche'!F286,'Calc Snowball'!F286,'Calc Cashflow'!F286)</f>
        <v/>
      </c>
      <c r="J280" s="65">
        <f>CHOOSE(Plan!$K$5,'Calc Smart'!G286,'Calc Avalanche'!G286,'Calc Snowball'!G286,'Calc Cashflow'!G286)</f>
        <v/>
      </c>
      <c r="K280" s="65">
        <f>CHOOSE(Plan!$K$5,'Calc Smart'!H286,'Calc Avalanche'!H286,'Calc Snowball'!H286,'Calc Cashflow'!H286)</f>
        <v/>
      </c>
      <c r="L280" s="65">
        <f>CHOOSE(Plan!$K$5,'Calc Smart'!I286,'Calc Avalanche'!I286,'Calc Snowball'!I286,'Calc Cashflow'!I286)</f>
        <v/>
      </c>
      <c r="M280" s="65">
        <f>CHOOSE(Plan!$K$5,'Calc Smart'!J286,'Calc Avalanche'!J286,'Calc Snowball'!J286,'Calc Cashflow'!J286)</f>
        <v/>
      </c>
      <c r="N280" s="65">
        <f>CHOOSE(Plan!$K$5,'Calc Smart'!K286,'Calc Avalanche'!K286,'Calc Snowball'!K286,'Calc Cashflow'!K286)</f>
        <v/>
      </c>
      <c r="O280" s="65">
        <f>CHOOSE(Plan!$K$5,'Calc Smart'!L286,'Calc Avalanche'!L286,'Calc Snowball'!L286,'Calc Cashflow'!L286)</f>
        <v/>
      </c>
      <c r="P280" s="65">
        <f>CHOOSE(Plan!$K$5,'Calc Smart'!M286,'Calc Avalanche'!M286,'Calc Snowball'!M286,'Calc Cashflow'!M286)</f>
        <v/>
      </c>
      <c r="Q280" s="65">
        <f>CHOOSE(Plan!$K$5,'Calc Smart'!N286,'Calc Avalanche'!N286,'Calc Snowball'!N286,'Calc Cashflow'!N286)</f>
        <v/>
      </c>
    </row>
    <row r="281">
      <c r="B281" s="66">
        <f>EDATE(Plan!$C$6,275)</f>
        <v/>
      </c>
      <c r="C281" s="32">
        <f>CHOOSE(Plan!$K$5,'Calc Smart'!AE287,'Calc Avalanche'!AE287,'Calc Snowball'!AE287,'Calc Cashflow'!AE287)</f>
        <v/>
      </c>
      <c r="D281" s="32">
        <f>CHOOSE(Plan!$K$5,'Calc Smart'!AD287,'Calc Avalanche'!AD287,'Calc Snowball'!AD287,'Calc Cashflow'!AD287)</f>
        <v/>
      </c>
      <c r="E281" s="43">
        <f>CHOOSE(Plan!$K$5,COUNTIF('Calc Smart'!C287:N287,"&gt;0"),COUNTIF('Calc Avalanche'!C287:N287,"&gt;0"),COUNTIF('Calc Snowball'!C287:N287,"&gt;0"),COUNTIF('Calc Cashflow'!C287:N287,"&gt;0"))</f>
        <v/>
      </c>
      <c r="F281" s="67">
        <f>CHOOSE(Plan!$K$5,'Calc Smart'!C287,'Calc Avalanche'!C287,'Calc Snowball'!C287,'Calc Cashflow'!C287)</f>
        <v/>
      </c>
      <c r="G281" s="67">
        <f>CHOOSE(Plan!$K$5,'Calc Smart'!D287,'Calc Avalanche'!D287,'Calc Snowball'!D287,'Calc Cashflow'!D287)</f>
        <v/>
      </c>
      <c r="H281" s="67">
        <f>CHOOSE(Plan!$K$5,'Calc Smart'!E287,'Calc Avalanche'!E287,'Calc Snowball'!E287,'Calc Cashflow'!E287)</f>
        <v/>
      </c>
      <c r="I281" s="67">
        <f>CHOOSE(Plan!$K$5,'Calc Smart'!F287,'Calc Avalanche'!F287,'Calc Snowball'!F287,'Calc Cashflow'!F287)</f>
        <v/>
      </c>
      <c r="J281" s="67">
        <f>CHOOSE(Plan!$K$5,'Calc Smart'!G287,'Calc Avalanche'!G287,'Calc Snowball'!G287,'Calc Cashflow'!G287)</f>
        <v/>
      </c>
      <c r="K281" s="67">
        <f>CHOOSE(Plan!$K$5,'Calc Smart'!H287,'Calc Avalanche'!H287,'Calc Snowball'!H287,'Calc Cashflow'!H287)</f>
        <v/>
      </c>
      <c r="L281" s="67">
        <f>CHOOSE(Plan!$K$5,'Calc Smart'!I287,'Calc Avalanche'!I287,'Calc Snowball'!I287,'Calc Cashflow'!I287)</f>
        <v/>
      </c>
      <c r="M281" s="67">
        <f>CHOOSE(Plan!$K$5,'Calc Smart'!J287,'Calc Avalanche'!J287,'Calc Snowball'!J287,'Calc Cashflow'!J287)</f>
        <v/>
      </c>
      <c r="N281" s="67">
        <f>CHOOSE(Plan!$K$5,'Calc Smart'!K287,'Calc Avalanche'!K287,'Calc Snowball'!K287,'Calc Cashflow'!K287)</f>
        <v/>
      </c>
      <c r="O281" s="67">
        <f>CHOOSE(Plan!$K$5,'Calc Smart'!L287,'Calc Avalanche'!L287,'Calc Snowball'!L287,'Calc Cashflow'!L287)</f>
        <v/>
      </c>
      <c r="P281" s="67">
        <f>CHOOSE(Plan!$K$5,'Calc Smart'!M287,'Calc Avalanche'!M287,'Calc Snowball'!M287,'Calc Cashflow'!M287)</f>
        <v/>
      </c>
      <c r="Q281" s="67">
        <f>CHOOSE(Plan!$K$5,'Calc Smart'!N287,'Calc Avalanche'!N287,'Calc Snowball'!N287,'Calc Cashflow'!N287)</f>
        <v/>
      </c>
    </row>
    <row r="282">
      <c r="B282" s="64">
        <f>EDATE(Plan!$C$6,276)</f>
        <v/>
      </c>
      <c r="C282" s="31">
        <f>CHOOSE(Plan!$K$5,'Calc Smart'!AE288,'Calc Avalanche'!AE288,'Calc Snowball'!AE288,'Calc Cashflow'!AE288)</f>
        <v/>
      </c>
      <c r="D282" s="31">
        <f>CHOOSE(Plan!$K$5,'Calc Smart'!AD288,'Calc Avalanche'!AD288,'Calc Snowball'!AD288,'Calc Cashflow'!AD288)</f>
        <v/>
      </c>
      <c r="E282" s="40">
        <f>CHOOSE(Plan!$K$5,COUNTIF('Calc Smart'!C288:N288,"&gt;0"),COUNTIF('Calc Avalanche'!C288:N288,"&gt;0"),COUNTIF('Calc Snowball'!C288:N288,"&gt;0"),COUNTIF('Calc Cashflow'!C288:N288,"&gt;0"))</f>
        <v/>
      </c>
      <c r="F282" s="65">
        <f>CHOOSE(Plan!$K$5,'Calc Smart'!C288,'Calc Avalanche'!C288,'Calc Snowball'!C288,'Calc Cashflow'!C288)</f>
        <v/>
      </c>
      <c r="G282" s="65">
        <f>CHOOSE(Plan!$K$5,'Calc Smart'!D288,'Calc Avalanche'!D288,'Calc Snowball'!D288,'Calc Cashflow'!D288)</f>
        <v/>
      </c>
      <c r="H282" s="65">
        <f>CHOOSE(Plan!$K$5,'Calc Smart'!E288,'Calc Avalanche'!E288,'Calc Snowball'!E288,'Calc Cashflow'!E288)</f>
        <v/>
      </c>
      <c r="I282" s="65">
        <f>CHOOSE(Plan!$K$5,'Calc Smart'!F288,'Calc Avalanche'!F288,'Calc Snowball'!F288,'Calc Cashflow'!F288)</f>
        <v/>
      </c>
      <c r="J282" s="65">
        <f>CHOOSE(Plan!$K$5,'Calc Smart'!G288,'Calc Avalanche'!G288,'Calc Snowball'!G288,'Calc Cashflow'!G288)</f>
        <v/>
      </c>
      <c r="K282" s="65">
        <f>CHOOSE(Plan!$K$5,'Calc Smart'!H288,'Calc Avalanche'!H288,'Calc Snowball'!H288,'Calc Cashflow'!H288)</f>
        <v/>
      </c>
      <c r="L282" s="65">
        <f>CHOOSE(Plan!$K$5,'Calc Smart'!I288,'Calc Avalanche'!I288,'Calc Snowball'!I288,'Calc Cashflow'!I288)</f>
        <v/>
      </c>
      <c r="M282" s="65">
        <f>CHOOSE(Plan!$K$5,'Calc Smart'!J288,'Calc Avalanche'!J288,'Calc Snowball'!J288,'Calc Cashflow'!J288)</f>
        <v/>
      </c>
      <c r="N282" s="65">
        <f>CHOOSE(Plan!$K$5,'Calc Smart'!K288,'Calc Avalanche'!K288,'Calc Snowball'!K288,'Calc Cashflow'!K288)</f>
        <v/>
      </c>
      <c r="O282" s="65">
        <f>CHOOSE(Plan!$K$5,'Calc Smart'!L288,'Calc Avalanche'!L288,'Calc Snowball'!L288,'Calc Cashflow'!L288)</f>
        <v/>
      </c>
      <c r="P282" s="65">
        <f>CHOOSE(Plan!$K$5,'Calc Smart'!M288,'Calc Avalanche'!M288,'Calc Snowball'!M288,'Calc Cashflow'!M288)</f>
        <v/>
      </c>
      <c r="Q282" s="65">
        <f>CHOOSE(Plan!$K$5,'Calc Smart'!N288,'Calc Avalanche'!N288,'Calc Snowball'!N288,'Calc Cashflow'!N288)</f>
        <v/>
      </c>
    </row>
    <row r="283">
      <c r="B283" s="66">
        <f>EDATE(Plan!$C$6,277)</f>
        <v/>
      </c>
      <c r="C283" s="32">
        <f>CHOOSE(Plan!$K$5,'Calc Smart'!AE289,'Calc Avalanche'!AE289,'Calc Snowball'!AE289,'Calc Cashflow'!AE289)</f>
        <v/>
      </c>
      <c r="D283" s="32">
        <f>CHOOSE(Plan!$K$5,'Calc Smart'!AD289,'Calc Avalanche'!AD289,'Calc Snowball'!AD289,'Calc Cashflow'!AD289)</f>
        <v/>
      </c>
      <c r="E283" s="43">
        <f>CHOOSE(Plan!$K$5,COUNTIF('Calc Smart'!C289:N289,"&gt;0"),COUNTIF('Calc Avalanche'!C289:N289,"&gt;0"),COUNTIF('Calc Snowball'!C289:N289,"&gt;0"),COUNTIF('Calc Cashflow'!C289:N289,"&gt;0"))</f>
        <v/>
      </c>
      <c r="F283" s="67">
        <f>CHOOSE(Plan!$K$5,'Calc Smart'!C289,'Calc Avalanche'!C289,'Calc Snowball'!C289,'Calc Cashflow'!C289)</f>
        <v/>
      </c>
      <c r="G283" s="67">
        <f>CHOOSE(Plan!$K$5,'Calc Smart'!D289,'Calc Avalanche'!D289,'Calc Snowball'!D289,'Calc Cashflow'!D289)</f>
        <v/>
      </c>
      <c r="H283" s="67">
        <f>CHOOSE(Plan!$K$5,'Calc Smart'!E289,'Calc Avalanche'!E289,'Calc Snowball'!E289,'Calc Cashflow'!E289)</f>
        <v/>
      </c>
      <c r="I283" s="67">
        <f>CHOOSE(Plan!$K$5,'Calc Smart'!F289,'Calc Avalanche'!F289,'Calc Snowball'!F289,'Calc Cashflow'!F289)</f>
        <v/>
      </c>
      <c r="J283" s="67">
        <f>CHOOSE(Plan!$K$5,'Calc Smart'!G289,'Calc Avalanche'!G289,'Calc Snowball'!G289,'Calc Cashflow'!G289)</f>
        <v/>
      </c>
      <c r="K283" s="67">
        <f>CHOOSE(Plan!$K$5,'Calc Smart'!H289,'Calc Avalanche'!H289,'Calc Snowball'!H289,'Calc Cashflow'!H289)</f>
        <v/>
      </c>
      <c r="L283" s="67">
        <f>CHOOSE(Plan!$K$5,'Calc Smart'!I289,'Calc Avalanche'!I289,'Calc Snowball'!I289,'Calc Cashflow'!I289)</f>
        <v/>
      </c>
      <c r="M283" s="67">
        <f>CHOOSE(Plan!$K$5,'Calc Smart'!J289,'Calc Avalanche'!J289,'Calc Snowball'!J289,'Calc Cashflow'!J289)</f>
        <v/>
      </c>
      <c r="N283" s="67">
        <f>CHOOSE(Plan!$K$5,'Calc Smart'!K289,'Calc Avalanche'!K289,'Calc Snowball'!K289,'Calc Cashflow'!K289)</f>
        <v/>
      </c>
      <c r="O283" s="67">
        <f>CHOOSE(Plan!$K$5,'Calc Smart'!L289,'Calc Avalanche'!L289,'Calc Snowball'!L289,'Calc Cashflow'!L289)</f>
        <v/>
      </c>
      <c r="P283" s="67">
        <f>CHOOSE(Plan!$K$5,'Calc Smart'!M289,'Calc Avalanche'!M289,'Calc Snowball'!M289,'Calc Cashflow'!M289)</f>
        <v/>
      </c>
      <c r="Q283" s="67">
        <f>CHOOSE(Plan!$K$5,'Calc Smart'!N289,'Calc Avalanche'!N289,'Calc Snowball'!N289,'Calc Cashflow'!N289)</f>
        <v/>
      </c>
    </row>
    <row r="284">
      <c r="B284" s="64">
        <f>EDATE(Plan!$C$6,278)</f>
        <v/>
      </c>
      <c r="C284" s="31">
        <f>CHOOSE(Plan!$K$5,'Calc Smart'!AE290,'Calc Avalanche'!AE290,'Calc Snowball'!AE290,'Calc Cashflow'!AE290)</f>
        <v/>
      </c>
      <c r="D284" s="31">
        <f>CHOOSE(Plan!$K$5,'Calc Smart'!AD290,'Calc Avalanche'!AD290,'Calc Snowball'!AD290,'Calc Cashflow'!AD290)</f>
        <v/>
      </c>
      <c r="E284" s="40">
        <f>CHOOSE(Plan!$K$5,COUNTIF('Calc Smart'!C290:N290,"&gt;0"),COUNTIF('Calc Avalanche'!C290:N290,"&gt;0"),COUNTIF('Calc Snowball'!C290:N290,"&gt;0"),COUNTIF('Calc Cashflow'!C290:N290,"&gt;0"))</f>
        <v/>
      </c>
      <c r="F284" s="65">
        <f>CHOOSE(Plan!$K$5,'Calc Smart'!C290,'Calc Avalanche'!C290,'Calc Snowball'!C290,'Calc Cashflow'!C290)</f>
        <v/>
      </c>
      <c r="G284" s="65">
        <f>CHOOSE(Plan!$K$5,'Calc Smart'!D290,'Calc Avalanche'!D290,'Calc Snowball'!D290,'Calc Cashflow'!D290)</f>
        <v/>
      </c>
      <c r="H284" s="65">
        <f>CHOOSE(Plan!$K$5,'Calc Smart'!E290,'Calc Avalanche'!E290,'Calc Snowball'!E290,'Calc Cashflow'!E290)</f>
        <v/>
      </c>
      <c r="I284" s="65">
        <f>CHOOSE(Plan!$K$5,'Calc Smart'!F290,'Calc Avalanche'!F290,'Calc Snowball'!F290,'Calc Cashflow'!F290)</f>
        <v/>
      </c>
      <c r="J284" s="65">
        <f>CHOOSE(Plan!$K$5,'Calc Smart'!G290,'Calc Avalanche'!G290,'Calc Snowball'!G290,'Calc Cashflow'!G290)</f>
        <v/>
      </c>
      <c r="K284" s="65">
        <f>CHOOSE(Plan!$K$5,'Calc Smart'!H290,'Calc Avalanche'!H290,'Calc Snowball'!H290,'Calc Cashflow'!H290)</f>
        <v/>
      </c>
      <c r="L284" s="65">
        <f>CHOOSE(Plan!$K$5,'Calc Smart'!I290,'Calc Avalanche'!I290,'Calc Snowball'!I290,'Calc Cashflow'!I290)</f>
        <v/>
      </c>
      <c r="M284" s="65">
        <f>CHOOSE(Plan!$K$5,'Calc Smart'!J290,'Calc Avalanche'!J290,'Calc Snowball'!J290,'Calc Cashflow'!J290)</f>
        <v/>
      </c>
      <c r="N284" s="65">
        <f>CHOOSE(Plan!$K$5,'Calc Smart'!K290,'Calc Avalanche'!K290,'Calc Snowball'!K290,'Calc Cashflow'!K290)</f>
        <v/>
      </c>
      <c r="O284" s="65">
        <f>CHOOSE(Plan!$K$5,'Calc Smart'!L290,'Calc Avalanche'!L290,'Calc Snowball'!L290,'Calc Cashflow'!L290)</f>
        <v/>
      </c>
      <c r="P284" s="65">
        <f>CHOOSE(Plan!$K$5,'Calc Smart'!M290,'Calc Avalanche'!M290,'Calc Snowball'!M290,'Calc Cashflow'!M290)</f>
        <v/>
      </c>
      <c r="Q284" s="65">
        <f>CHOOSE(Plan!$K$5,'Calc Smart'!N290,'Calc Avalanche'!N290,'Calc Snowball'!N290,'Calc Cashflow'!N290)</f>
        <v/>
      </c>
    </row>
    <row r="285">
      <c r="B285" s="66">
        <f>EDATE(Plan!$C$6,279)</f>
        <v/>
      </c>
      <c r="C285" s="32">
        <f>CHOOSE(Plan!$K$5,'Calc Smart'!AE291,'Calc Avalanche'!AE291,'Calc Snowball'!AE291,'Calc Cashflow'!AE291)</f>
        <v/>
      </c>
      <c r="D285" s="32">
        <f>CHOOSE(Plan!$K$5,'Calc Smart'!AD291,'Calc Avalanche'!AD291,'Calc Snowball'!AD291,'Calc Cashflow'!AD291)</f>
        <v/>
      </c>
      <c r="E285" s="43">
        <f>CHOOSE(Plan!$K$5,COUNTIF('Calc Smart'!C291:N291,"&gt;0"),COUNTIF('Calc Avalanche'!C291:N291,"&gt;0"),COUNTIF('Calc Snowball'!C291:N291,"&gt;0"),COUNTIF('Calc Cashflow'!C291:N291,"&gt;0"))</f>
        <v/>
      </c>
      <c r="F285" s="67">
        <f>CHOOSE(Plan!$K$5,'Calc Smart'!C291,'Calc Avalanche'!C291,'Calc Snowball'!C291,'Calc Cashflow'!C291)</f>
        <v/>
      </c>
      <c r="G285" s="67">
        <f>CHOOSE(Plan!$K$5,'Calc Smart'!D291,'Calc Avalanche'!D291,'Calc Snowball'!D291,'Calc Cashflow'!D291)</f>
        <v/>
      </c>
      <c r="H285" s="67">
        <f>CHOOSE(Plan!$K$5,'Calc Smart'!E291,'Calc Avalanche'!E291,'Calc Snowball'!E291,'Calc Cashflow'!E291)</f>
        <v/>
      </c>
      <c r="I285" s="67">
        <f>CHOOSE(Plan!$K$5,'Calc Smart'!F291,'Calc Avalanche'!F291,'Calc Snowball'!F291,'Calc Cashflow'!F291)</f>
        <v/>
      </c>
      <c r="J285" s="67">
        <f>CHOOSE(Plan!$K$5,'Calc Smart'!G291,'Calc Avalanche'!G291,'Calc Snowball'!G291,'Calc Cashflow'!G291)</f>
        <v/>
      </c>
      <c r="K285" s="67">
        <f>CHOOSE(Plan!$K$5,'Calc Smart'!H291,'Calc Avalanche'!H291,'Calc Snowball'!H291,'Calc Cashflow'!H291)</f>
        <v/>
      </c>
      <c r="L285" s="67">
        <f>CHOOSE(Plan!$K$5,'Calc Smart'!I291,'Calc Avalanche'!I291,'Calc Snowball'!I291,'Calc Cashflow'!I291)</f>
        <v/>
      </c>
      <c r="M285" s="67">
        <f>CHOOSE(Plan!$K$5,'Calc Smart'!J291,'Calc Avalanche'!J291,'Calc Snowball'!J291,'Calc Cashflow'!J291)</f>
        <v/>
      </c>
      <c r="N285" s="67">
        <f>CHOOSE(Plan!$K$5,'Calc Smart'!K291,'Calc Avalanche'!K291,'Calc Snowball'!K291,'Calc Cashflow'!K291)</f>
        <v/>
      </c>
      <c r="O285" s="67">
        <f>CHOOSE(Plan!$K$5,'Calc Smart'!L291,'Calc Avalanche'!L291,'Calc Snowball'!L291,'Calc Cashflow'!L291)</f>
        <v/>
      </c>
      <c r="P285" s="67">
        <f>CHOOSE(Plan!$K$5,'Calc Smart'!M291,'Calc Avalanche'!M291,'Calc Snowball'!M291,'Calc Cashflow'!M291)</f>
        <v/>
      </c>
      <c r="Q285" s="67">
        <f>CHOOSE(Plan!$K$5,'Calc Smart'!N291,'Calc Avalanche'!N291,'Calc Snowball'!N291,'Calc Cashflow'!N291)</f>
        <v/>
      </c>
    </row>
    <row r="286">
      <c r="B286" s="64">
        <f>EDATE(Plan!$C$6,280)</f>
        <v/>
      </c>
      <c r="C286" s="31">
        <f>CHOOSE(Plan!$K$5,'Calc Smart'!AE292,'Calc Avalanche'!AE292,'Calc Snowball'!AE292,'Calc Cashflow'!AE292)</f>
        <v/>
      </c>
      <c r="D286" s="31">
        <f>CHOOSE(Plan!$K$5,'Calc Smart'!AD292,'Calc Avalanche'!AD292,'Calc Snowball'!AD292,'Calc Cashflow'!AD292)</f>
        <v/>
      </c>
      <c r="E286" s="40">
        <f>CHOOSE(Plan!$K$5,COUNTIF('Calc Smart'!C292:N292,"&gt;0"),COUNTIF('Calc Avalanche'!C292:N292,"&gt;0"),COUNTIF('Calc Snowball'!C292:N292,"&gt;0"),COUNTIF('Calc Cashflow'!C292:N292,"&gt;0"))</f>
        <v/>
      </c>
      <c r="F286" s="65">
        <f>CHOOSE(Plan!$K$5,'Calc Smart'!C292,'Calc Avalanche'!C292,'Calc Snowball'!C292,'Calc Cashflow'!C292)</f>
        <v/>
      </c>
      <c r="G286" s="65">
        <f>CHOOSE(Plan!$K$5,'Calc Smart'!D292,'Calc Avalanche'!D292,'Calc Snowball'!D292,'Calc Cashflow'!D292)</f>
        <v/>
      </c>
      <c r="H286" s="65">
        <f>CHOOSE(Plan!$K$5,'Calc Smart'!E292,'Calc Avalanche'!E292,'Calc Snowball'!E292,'Calc Cashflow'!E292)</f>
        <v/>
      </c>
      <c r="I286" s="65">
        <f>CHOOSE(Plan!$K$5,'Calc Smart'!F292,'Calc Avalanche'!F292,'Calc Snowball'!F292,'Calc Cashflow'!F292)</f>
        <v/>
      </c>
      <c r="J286" s="65">
        <f>CHOOSE(Plan!$K$5,'Calc Smart'!G292,'Calc Avalanche'!G292,'Calc Snowball'!G292,'Calc Cashflow'!G292)</f>
        <v/>
      </c>
      <c r="K286" s="65">
        <f>CHOOSE(Plan!$K$5,'Calc Smart'!H292,'Calc Avalanche'!H292,'Calc Snowball'!H292,'Calc Cashflow'!H292)</f>
        <v/>
      </c>
      <c r="L286" s="65">
        <f>CHOOSE(Plan!$K$5,'Calc Smart'!I292,'Calc Avalanche'!I292,'Calc Snowball'!I292,'Calc Cashflow'!I292)</f>
        <v/>
      </c>
      <c r="M286" s="65">
        <f>CHOOSE(Plan!$K$5,'Calc Smart'!J292,'Calc Avalanche'!J292,'Calc Snowball'!J292,'Calc Cashflow'!J292)</f>
        <v/>
      </c>
      <c r="N286" s="65">
        <f>CHOOSE(Plan!$K$5,'Calc Smart'!K292,'Calc Avalanche'!K292,'Calc Snowball'!K292,'Calc Cashflow'!K292)</f>
        <v/>
      </c>
      <c r="O286" s="65">
        <f>CHOOSE(Plan!$K$5,'Calc Smart'!L292,'Calc Avalanche'!L292,'Calc Snowball'!L292,'Calc Cashflow'!L292)</f>
        <v/>
      </c>
      <c r="P286" s="65">
        <f>CHOOSE(Plan!$K$5,'Calc Smart'!M292,'Calc Avalanche'!M292,'Calc Snowball'!M292,'Calc Cashflow'!M292)</f>
        <v/>
      </c>
      <c r="Q286" s="65">
        <f>CHOOSE(Plan!$K$5,'Calc Smart'!N292,'Calc Avalanche'!N292,'Calc Snowball'!N292,'Calc Cashflow'!N292)</f>
        <v/>
      </c>
    </row>
    <row r="287">
      <c r="B287" s="66">
        <f>EDATE(Plan!$C$6,281)</f>
        <v/>
      </c>
      <c r="C287" s="32">
        <f>CHOOSE(Plan!$K$5,'Calc Smart'!AE293,'Calc Avalanche'!AE293,'Calc Snowball'!AE293,'Calc Cashflow'!AE293)</f>
        <v/>
      </c>
      <c r="D287" s="32">
        <f>CHOOSE(Plan!$K$5,'Calc Smart'!AD293,'Calc Avalanche'!AD293,'Calc Snowball'!AD293,'Calc Cashflow'!AD293)</f>
        <v/>
      </c>
      <c r="E287" s="43">
        <f>CHOOSE(Plan!$K$5,COUNTIF('Calc Smart'!C293:N293,"&gt;0"),COUNTIF('Calc Avalanche'!C293:N293,"&gt;0"),COUNTIF('Calc Snowball'!C293:N293,"&gt;0"),COUNTIF('Calc Cashflow'!C293:N293,"&gt;0"))</f>
        <v/>
      </c>
      <c r="F287" s="67">
        <f>CHOOSE(Plan!$K$5,'Calc Smart'!C293,'Calc Avalanche'!C293,'Calc Snowball'!C293,'Calc Cashflow'!C293)</f>
        <v/>
      </c>
      <c r="G287" s="67">
        <f>CHOOSE(Plan!$K$5,'Calc Smart'!D293,'Calc Avalanche'!D293,'Calc Snowball'!D293,'Calc Cashflow'!D293)</f>
        <v/>
      </c>
      <c r="H287" s="67">
        <f>CHOOSE(Plan!$K$5,'Calc Smart'!E293,'Calc Avalanche'!E293,'Calc Snowball'!E293,'Calc Cashflow'!E293)</f>
        <v/>
      </c>
      <c r="I287" s="67">
        <f>CHOOSE(Plan!$K$5,'Calc Smart'!F293,'Calc Avalanche'!F293,'Calc Snowball'!F293,'Calc Cashflow'!F293)</f>
        <v/>
      </c>
      <c r="J287" s="67">
        <f>CHOOSE(Plan!$K$5,'Calc Smart'!G293,'Calc Avalanche'!G293,'Calc Snowball'!G293,'Calc Cashflow'!G293)</f>
        <v/>
      </c>
      <c r="K287" s="67">
        <f>CHOOSE(Plan!$K$5,'Calc Smart'!H293,'Calc Avalanche'!H293,'Calc Snowball'!H293,'Calc Cashflow'!H293)</f>
        <v/>
      </c>
      <c r="L287" s="67">
        <f>CHOOSE(Plan!$K$5,'Calc Smart'!I293,'Calc Avalanche'!I293,'Calc Snowball'!I293,'Calc Cashflow'!I293)</f>
        <v/>
      </c>
      <c r="M287" s="67">
        <f>CHOOSE(Plan!$K$5,'Calc Smart'!J293,'Calc Avalanche'!J293,'Calc Snowball'!J293,'Calc Cashflow'!J293)</f>
        <v/>
      </c>
      <c r="N287" s="67">
        <f>CHOOSE(Plan!$K$5,'Calc Smart'!K293,'Calc Avalanche'!K293,'Calc Snowball'!K293,'Calc Cashflow'!K293)</f>
        <v/>
      </c>
      <c r="O287" s="67">
        <f>CHOOSE(Plan!$K$5,'Calc Smart'!L293,'Calc Avalanche'!L293,'Calc Snowball'!L293,'Calc Cashflow'!L293)</f>
        <v/>
      </c>
      <c r="P287" s="67">
        <f>CHOOSE(Plan!$K$5,'Calc Smart'!M293,'Calc Avalanche'!M293,'Calc Snowball'!M293,'Calc Cashflow'!M293)</f>
        <v/>
      </c>
      <c r="Q287" s="67">
        <f>CHOOSE(Plan!$K$5,'Calc Smart'!N293,'Calc Avalanche'!N293,'Calc Snowball'!N293,'Calc Cashflow'!N293)</f>
        <v/>
      </c>
    </row>
    <row r="288">
      <c r="B288" s="64">
        <f>EDATE(Plan!$C$6,282)</f>
        <v/>
      </c>
      <c r="C288" s="31">
        <f>CHOOSE(Plan!$K$5,'Calc Smart'!AE294,'Calc Avalanche'!AE294,'Calc Snowball'!AE294,'Calc Cashflow'!AE294)</f>
        <v/>
      </c>
      <c r="D288" s="31">
        <f>CHOOSE(Plan!$K$5,'Calc Smart'!AD294,'Calc Avalanche'!AD294,'Calc Snowball'!AD294,'Calc Cashflow'!AD294)</f>
        <v/>
      </c>
      <c r="E288" s="40">
        <f>CHOOSE(Plan!$K$5,COUNTIF('Calc Smart'!C294:N294,"&gt;0"),COUNTIF('Calc Avalanche'!C294:N294,"&gt;0"),COUNTIF('Calc Snowball'!C294:N294,"&gt;0"),COUNTIF('Calc Cashflow'!C294:N294,"&gt;0"))</f>
        <v/>
      </c>
      <c r="F288" s="65">
        <f>CHOOSE(Plan!$K$5,'Calc Smart'!C294,'Calc Avalanche'!C294,'Calc Snowball'!C294,'Calc Cashflow'!C294)</f>
        <v/>
      </c>
      <c r="G288" s="65">
        <f>CHOOSE(Plan!$K$5,'Calc Smart'!D294,'Calc Avalanche'!D294,'Calc Snowball'!D294,'Calc Cashflow'!D294)</f>
        <v/>
      </c>
      <c r="H288" s="65">
        <f>CHOOSE(Plan!$K$5,'Calc Smart'!E294,'Calc Avalanche'!E294,'Calc Snowball'!E294,'Calc Cashflow'!E294)</f>
        <v/>
      </c>
      <c r="I288" s="65">
        <f>CHOOSE(Plan!$K$5,'Calc Smart'!F294,'Calc Avalanche'!F294,'Calc Snowball'!F294,'Calc Cashflow'!F294)</f>
        <v/>
      </c>
      <c r="J288" s="65">
        <f>CHOOSE(Plan!$K$5,'Calc Smart'!G294,'Calc Avalanche'!G294,'Calc Snowball'!G294,'Calc Cashflow'!G294)</f>
        <v/>
      </c>
      <c r="K288" s="65">
        <f>CHOOSE(Plan!$K$5,'Calc Smart'!H294,'Calc Avalanche'!H294,'Calc Snowball'!H294,'Calc Cashflow'!H294)</f>
        <v/>
      </c>
      <c r="L288" s="65">
        <f>CHOOSE(Plan!$K$5,'Calc Smart'!I294,'Calc Avalanche'!I294,'Calc Snowball'!I294,'Calc Cashflow'!I294)</f>
        <v/>
      </c>
      <c r="M288" s="65">
        <f>CHOOSE(Plan!$K$5,'Calc Smart'!J294,'Calc Avalanche'!J294,'Calc Snowball'!J294,'Calc Cashflow'!J294)</f>
        <v/>
      </c>
      <c r="N288" s="65">
        <f>CHOOSE(Plan!$K$5,'Calc Smart'!K294,'Calc Avalanche'!K294,'Calc Snowball'!K294,'Calc Cashflow'!K294)</f>
        <v/>
      </c>
      <c r="O288" s="65">
        <f>CHOOSE(Plan!$K$5,'Calc Smart'!L294,'Calc Avalanche'!L294,'Calc Snowball'!L294,'Calc Cashflow'!L294)</f>
        <v/>
      </c>
      <c r="P288" s="65">
        <f>CHOOSE(Plan!$K$5,'Calc Smart'!M294,'Calc Avalanche'!M294,'Calc Snowball'!M294,'Calc Cashflow'!M294)</f>
        <v/>
      </c>
      <c r="Q288" s="65">
        <f>CHOOSE(Plan!$K$5,'Calc Smart'!N294,'Calc Avalanche'!N294,'Calc Snowball'!N294,'Calc Cashflow'!N294)</f>
        <v/>
      </c>
    </row>
    <row r="289">
      <c r="B289" s="66">
        <f>EDATE(Plan!$C$6,283)</f>
        <v/>
      </c>
      <c r="C289" s="32">
        <f>CHOOSE(Plan!$K$5,'Calc Smart'!AE295,'Calc Avalanche'!AE295,'Calc Snowball'!AE295,'Calc Cashflow'!AE295)</f>
        <v/>
      </c>
      <c r="D289" s="32">
        <f>CHOOSE(Plan!$K$5,'Calc Smart'!AD295,'Calc Avalanche'!AD295,'Calc Snowball'!AD295,'Calc Cashflow'!AD295)</f>
        <v/>
      </c>
      <c r="E289" s="43">
        <f>CHOOSE(Plan!$K$5,COUNTIF('Calc Smart'!C295:N295,"&gt;0"),COUNTIF('Calc Avalanche'!C295:N295,"&gt;0"),COUNTIF('Calc Snowball'!C295:N295,"&gt;0"),COUNTIF('Calc Cashflow'!C295:N295,"&gt;0"))</f>
        <v/>
      </c>
      <c r="F289" s="67">
        <f>CHOOSE(Plan!$K$5,'Calc Smart'!C295,'Calc Avalanche'!C295,'Calc Snowball'!C295,'Calc Cashflow'!C295)</f>
        <v/>
      </c>
      <c r="G289" s="67">
        <f>CHOOSE(Plan!$K$5,'Calc Smart'!D295,'Calc Avalanche'!D295,'Calc Snowball'!D295,'Calc Cashflow'!D295)</f>
        <v/>
      </c>
      <c r="H289" s="67">
        <f>CHOOSE(Plan!$K$5,'Calc Smart'!E295,'Calc Avalanche'!E295,'Calc Snowball'!E295,'Calc Cashflow'!E295)</f>
        <v/>
      </c>
      <c r="I289" s="67">
        <f>CHOOSE(Plan!$K$5,'Calc Smart'!F295,'Calc Avalanche'!F295,'Calc Snowball'!F295,'Calc Cashflow'!F295)</f>
        <v/>
      </c>
      <c r="J289" s="67">
        <f>CHOOSE(Plan!$K$5,'Calc Smart'!G295,'Calc Avalanche'!G295,'Calc Snowball'!G295,'Calc Cashflow'!G295)</f>
        <v/>
      </c>
      <c r="K289" s="67">
        <f>CHOOSE(Plan!$K$5,'Calc Smart'!H295,'Calc Avalanche'!H295,'Calc Snowball'!H295,'Calc Cashflow'!H295)</f>
        <v/>
      </c>
      <c r="L289" s="67">
        <f>CHOOSE(Plan!$K$5,'Calc Smart'!I295,'Calc Avalanche'!I295,'Calc Snowball'!I295,'Calc Cashflow'!I295)</f>
        <v/>
      </c>
      <c r="M289" s="67">
        <f>CHOOSE(Plan!$K$5,'Calc Smart'!J295,'Calc Avalanche'!J295,'Calc Snowball'!J295,'Calc Cashflow'!J295)</f>
        <v/>
      </c>
      <c r="N289" s="67">
        <f>CHOOSE(Plan!$K$5,'Calc Smart'!K295,'Calc Avalanche'!K295,'Calc Snowball'!K295,'Calc Cashflow'!K295)</f>
        <v/>
      </c>
      <c r="O289" s="67">
        <f>CHOOSE(Plan!$K$5,'Calc Smart'!L295,'Calc Avalanche'!L295,'Calc Snowball'!L295,'Calc Cashflow'!L295)</f>
        <v/>
      </c>
      <c r="P289" s="67">
        <f>CHOOSE(Plan!$K$5,'Calc Smart'!M295,'Calc Avalanche'!M295,'Calc Snowball'!M295,'Calc Cashflow'!M295)</f>
        <v/>
      </c>
      <c r="Q289" s="67">
        <f>CHOOSE(Plan!$K$5,'Calc Smart'!N295,'Calc Avalanche'!N295,'Calc Snowball'!N295,'Calc Cashflow'!N295)</f>
        <v/>
      </c>
    </row>
    <row r="290">
      <c r="B290" s="64">
        <f>EDATE(Plan!$C$6,284)</f>
        <v/>
      </c>
      <c r="C290" s="31">
        <f>CHOOSE(Plan!$K$5,'Calc Smart'!AE296,'Calc Avalanche'!AE296,'Calc Snowball'!AE296,'Calc Cashflow'!AE296)</f>
        <v/>
      </c>
      <c r="D290" s="31">
        <f>CHOOSE(Plan!$K$5,'Calc Smart'!AD296,'Calc Avalanche'!AD296,'Calc Snowball'!AD296,'Calc Cashflow'!AD296)</f>
        <v/>
      </c>
      <c r="E290" s="40">
        <f>CHOOSE(Plan!$K$5,COUNTIF('Calc Smart'!C296:N296,"&gt;0"),COUNTIF('Calc Avalanche'!C296:N296,"&gt;0"),COUNTIF('Calc Snowball'!C296:N296,"&gt;0"),COUNTIF('Calc Cashflow'!C296:N296,"&gt;0"))</f>
        <v/>
      </c>
      <c r="F290" s="65">
        <f>CHOOSE(Plan!$K$5,'Calc Smart'!C296,'Calc Avalanche'!C296,'Calc Snowball'!C296,'Calc Cashflow'!C296)</f>
        <v/>
      </c>
      <c r="G290" s="65">
        <f>CHOOSE(Plan!$K$5,'Calc Smart'!D296,'Calc Avalanche'!D296,'Calc Snowball'!D296,'Calc Cashflow'!D296)</f>
        <v/>
      </c>
      <c r="H290" s="65">
        <f>CHOOSE(Plan!$K$5,'Calc Smart'!E296,'Calc Avalanche'!E296,'Calc Snowball'!E296,'Calc Cashflow'!E296)</f>
        <v/>
      </c>
      <c r="I290" s="65">
        <f>CHOOSE(Plan!$K$5,'Calc Smart'!F296,'Calc Avalanche'!F296,'Calc Snowball'!F296,'Calc Cashflow'!F296)</f>
        <v/>
      </c>
      <c r="J290" s="65">
        <f>CHOOSE(Plan!$K$5,'Calc Smart'!G296,'Calc Avalanche'!G296,'Calc Snowball'!G296,'Calc Cashflow'!G296)</f>
        <v/>
      </c>
      <c r="K290" s="65">
        <f>CHOOSE(Plan!$K$5,'Calc Smart'!H296,'Calc Avalanche'!H296,'Calc Snowball'!H296,'Calc Cashflow'!H296)</f>
        <v/>
      </c>
      <c r="L290" s="65">
        <f>CHOOSE(Plan!$K$5,'Calc Smart'!I296,'Calc Avalanche'!I296,'Calc Snowball'!I296,'Calc Cashflow'!I296)</f>
        <v/>
      </c>
      <c r="M290" s="65">
        <f>CHOOSE(Plan!$K$5,'Calc Smart'!J296,'Calc Avalanche'!J296,'Calc Snowball'!J296,'Calc Cashflow'!J296)</f>
        <v/>
      </c>
      <c r="N290" s="65">
        <f>CHOOSE(Plan!$K$5,'Calc Smart'!K296,'Calc Avalanche'!K296,'Calc Snowball'!K296,'Calc Cashflow'!K296)</f>
        <v/>
      </c>
      <c r="O290" s="65">
        <f>CHOOSE(Plan!$K$5,'Calc Smart'!L296,'Calc Avalanche'!L296,'Calc Snowball'!L296,'Calc Cashflow'!L296)</f>
        <v/>
      </c>
      <c r="P290" s="65">
        <f>CHOOSE(Plan!$K$5,'Calc Smart'!M296,'Calc Avalanche'!M296,'Calc Snowball'!M296,'Calc Cashflow'!M296)</f>
        <v/>
      </c>
      <c r="Q290" s="65">
        <f>CHOOSE(Plan!$K$5,'Calc Smart'!N296,'Calc Avalanche'!N296,'Calc Snowball'!N296,'Calc Cashflow'!N296)</f>
        <v/>
      </c>
    </row>
    <row r="291">
      <c r="B291" s="66">
        <f>EDATE(Plan!$C$6,285)</f>
        <v/>
      </c>
      <c r="C291" s="32">
        <f>CHOOSE(Plan!$K$5,'Calc Smart'!AE297,'Calc Avalanche'!AE297,'Calc Snowball'!AE297,'Calc Cashflow'!AE297)</f>
        <v/>
      </c>
      <c r="D291" s="32">
        <f>CHOOSE(Plan!$K$5,'Calc Smart'!AD297,'Calc Avalanche'!AD297,'Calc Snowball'!AD297,'Calc Cashflow'!AD297)</f>
        <v/>
      </c>
      <c r="E291" s="43">
        <f>CHOOSE(Plan!$K$5,COUNTIF('Calc Smart'!C297:N297,"&gt;0"),COUNTIF('Calc Avalanche'!C297:N297,"&gt;0"),COUNTIF('Calc Snowball'!C297:N297,"&gt;0"),COUNTIF('Calc Cashflow'!C297:N297,"&gt;0"))</f>
        <v/>
      </c>
      <c r="F291" s="67">
        <f>CHOOSE(Plan!$K$5,'Calc Smart'!C297,'Calc Avalanche'!C297,'Calc Snowball'!C297,'Calc Cashflow'!C297)</f>
        <v/>
      </c>
      <c r="G291" s="67">
        <f>CHOOSE(Plan!$K$5,'Calc Smart'!D297,'Calc Avalanche'!D297,'Calc Snowball'!D297,'Calc Cashflow'!D297)</f>
        <v/>
      </c>
      <c r="H291" s="67">
        <f>CHOOSE(Plan!$K$5,'Calc Smart'!E297,'Calc Avalanche'!E297,'Calc Snowball'!E297,'Calc Cashflow'!E297)</f>
        <v/>
      </c>
      <c r="I291" s="67">
        <f>CHOOSE(Plan!$K$5,'Calc Smart'!F297,'Calc Avalanche'!F297,'Calc Snowball'!F297,'Calc Cashflow'!F297)</f>
        <v/>
      </c>
      <c r="J291" s="67">
        <f>CHOOSE(Plan!$K$5,'Calc Smart'!G297,'Calc Avalanche'!G297,'Calc Snowball'!G297,'Calc Cashflow'!G297)</f>
        <v/>
      </c>
      <c r="K291" s="67">
        <f>CHOOSE(Plan!$K$5,'Calc Smart'!H297,'Calc Avalanche'!H297,'Calc Snowball'!H297,'Calc Cashflow'!H297)</f>
        <v/>
      </c>
      <c r="L291" s="67">
        <f>CHOOSE(Plan!$K$5,'Calc Smart'!I297,'Calc Avalanche'!I297,'Calc Snowball'!I297,'Calc Cashflow'!I297)</f>
        <v/>
      </c>
      <c r="M291" s="67">
        <f>CHOOSE(Plan!$K$5,'Calc Smart'!J297,'Calc Avalanche'!J297,'Calc Snowball'!J297,'Calc Cashflow'!J297)</f>
        <v/>
      </c>
      <c r="N291" s="67">
        <f>CHOOSE(Plan!$K$5,'Calc Smart'!K297,'Calc Avalanche'!K297,'Calc Snowball'!K297,'Calc Cashflow'!K297)</f>
        <v/>
      </c>
      <c r="O291" s="67">
        <f>CHOOSE(Plan!$K$5,'Calc Smart'!L297,'Calc Avalanche'!L297,'Calc Snowball'!L297,'Calc Cashflow'!L297)</f>
        <v/>
      </c>
      <c r="P291" s="67">
        <f>CHOOSE(Plan!$K$5,'Calc Smart'!M297,'Calc Avalanche'!M297,'Calc Snowball'!M297,'Calc Cashflow'!M297)</f>
        <v/>
      </c>
      <c r="Q291" s="67">
        <f>CHOOSE(Plan!$K$5,'Calc Smart'!N297,'Calc Avalanche'!N297,'Calc Snowball'!N297,'Calc Cashflow'!N297)</f>
        <v/>
      </c>
    </row>
    <row r="292">
      <c r="B292" s="64">
        <f>EDATE(Plan!$C$6,286)</f>
        <v/>
      </c>
      <c r="C292" s="31">
        <f>CHOOSE(Plan!$K$5,'Calc Smart'!AE298,'Calc Avalanche'!AE298,'Calc Snowball'!AE298,'Calc Cashflow'!AE298)</f>
        <v/>
      </c>
      <c r="D292" s="31">
        <f>CHOOSE(Plan!$K$5,'Calc Smart'!AD298,'Calc Avalanche'!AD298,'Calc Snowball'!AD298,'Calc Cashflow'!AD298)</f>
        <v/>
      </c>
      <c r="E292" s="40">
        <f>CHOOSE(Plan!$K$5,COUNTIF('Calc Smart'!C298:N298,"&gt;0"),COUNTIF('Calc Avalanche'!C298:N298,"&gt;0"),COUNTIF('Calc Snowball'!C298:N298,"&gt;0"),COUNTIF('Calc Cashflow'!C298:N298,"&gt;0"))</f>
        <v/>
      </c>
      <c r="F292" s="65">
        <f>CHOOSE(Plan!$K$5,'Calc Smart'!C298,'Calc Avalanche'!C298,'Calc Snowball'!C298,'Calc Cashflow'!C298)</f>
        <v/>
      </c>
      <c r="G292" s="65">
        <f>CHOOSE(Plan!$K$5,'Calc Smart'!D298,'Calc Avalanche'!D298,'Calc Snowball'!D298,'Calc Cashflow'!D298)</f>
        <v/>
      </c>
      <c r="H292" s="65">
        <f>CHOOSE(Plan!$K$5,'Calc Smart'!E298,'Calc Avalanche'!E298,'Calc Snowball'!E298,'Calc Cashflow'!E298)</f>
        <v/>
      </c>
      <c r="I292" s="65">
        <f>CHOOSE(Plan!$K$5,'Calc Smart'!F298,'Calc Avalanche'!F298,'Calc Snowball'!F298,'Calc Cashflow'!F298)</f>
        <v/>
      </c>
      <c r="J292" s="65">
        <f>CHOOSE(Plan!$K$5,'Calc Smart'!G298,'Calc Avalanche'!G298,'Calc Snowball'!G298,'Calc Cashflow'!G298)</f>
        <v/>
      </c>
      <c r="K292" s="65">
        <f>CHOOSE(Plan!$K$5,'Calc Smart'!H298,'Calc Avalanche'!H298,'Calc Snowball'!H298,'Calc Cashflow'!H298)</f>
        <v/>
      </c>
      <c r="L292" s="65">
        <f>CHOOSE(Plan!$K$5,'Calc Smart'!I298,'Calc Avalanche'!I298,'Calc Snowball'!I298,'Calc Cashflow'!I298)</f>
        <v/>
      </c>
      <c r="M292" s="65">
        <f>CHOOSE(Plan!$K$5,'Calc Smart'!J298,'Calc Avalanche'!J298,'Calc Snowball'!J298,'Calc Cashflow'!J298)</f>
        <v/>
      </c>
      <c r="N292" s="65">
        <f>CHOOSE(Plan!$K$5,'Calc Smart'!K298,'Calc Avalanche'!K298,'Calc Snowball'!K298,'Calc Cashflow'!K298)</f>
        <v/>
      </c>
      <c r="O292" s="65">
        <f>CHOOSE(Plan!$K$5,'Calc Smart'!L298,'Calc Avalanche'!L298,'Calc Snowball'!L298,'Calc Cashflow'!L298)</f>
        <v/>
      </c>
      <c r="P292" s="65">
        <f>CHOOSE(Plan!$K$5,'Calc Smart'!M298,'Calc Avalanche'!M298,'Calc Snowball'!M298,'Calc Cashflow'!M298)</f>
        <v/>
      </c>
      <c r="Q292" s="65">
        <f>CHOOSE(Plan!$K$5,'Calc Smart'!N298,'Calc Avalanche'!N298,'Calc Snowball'!N298,'Calc Cashflow'!N298)</f>
        <v/>
      </c>
    </row>
    <row r="293">
      <c r="B293" s="66">
        <f>EDATE(Plan!$C$6,287)</f>
        <v/>
      </c>
      <c r="C293" s="32">
        <f>CHOOSE(Plan!$K$5,'Calc Smart'!AE299,'Calc Avalanche'!AE299,'Calc Snowball'!AE299,'Calc Cashflow'!AE299)</f>
        <v/>
      </c>
      <c r="D293" s="32">
        <f>CHOOSE(Plan!$K$5,'Calc Smart'!AD299,'Calc Avalanche'!AD299,'Calc Snowball'!AD299,'Calc Cashflow'!AD299)</f>
        <v/>
      </c>
      <c r="E293" s="43">
        <f>CHOOSE(Plan!$K$5,COUNTIF('Calc Smart'!C299:N299,"&gt;0"),COUNTIF('Calc Avalanche'!C299:N299,"&gt;0"),COUNTIF('Calc Snowball'!C299:N299,"&gt;0"),COUNTIF('Calc Cashflow'!C299:N299,"&gt;0"))</f>
        <v/>
      </c>
      <c r="F293" s="67">
        <f>CHOOSE(Plan!$K$5,'Calc Smart'!C299,'Calc Avalanche'!C299,'Calc Snowball'!C299,'Calc Cashflow'!C299)</f>
        <v/>
      </c>
      <c r="G293" s="67">
        <f>CHOOSE(Plan!$K$5,'Calc Smart'!D299,'Calc Avalanche'!D299,'Calc Snowball'!D299,'Calc Cashflow'!D299)</f>
        <v/>
      </c>
      <c r="H293" s="67">
        <f>CHOOSE(Plan!$K$5,'Calc Smart'!E299,'Calc Avalanche'!E299,'Calc Snowball'!E299,'Calc Cashflow'!E299)</f>
        <v/>
      </c>
      <c r="I293" s="67">
        <f>CHOOSE(Plan!$K$5,'Calc Smart'!F299,'Calc Avalanche'!F299,'Calc Snowball'!F299,'Calc Cashflow'!F299)</f>
        <v/>
      </c>
      <c r="J293" s="67">
        <f>CHOOSE(Plan!$K$5,'Calc Smart'!G299,'Calc Avalanche'!G299,'Calc Snowball'!G299,'Calc Cashflow'!G299)</f>
        <v/>
      </c>
      <c r="K293" s="67">
        <f>CHOOSE(Plan!$K$5,'Calc Smart'!H299,'Calc Avalanche'!H299,'Calc Snowball'!H299,'Calc Cashflow'!H299)</f>
        <v/>
      </c>
      <c r="L293" s="67">
        <f>CHOOSE(Plan!$K$5,'Calc Smart'!I299,'Calc Avalanche'!I299,'Calc Snowball'!I299,'Calc Cashflow'!I299)</f>
        <v/>
      </c>
      <c r="M293" s="67">
        <f>CHOOSE(Plan!$K$5,'Calc Smart'!J299,'Calc Avalanche'!J299,'Calc Snowball'!J299,'Calc Cashflow'!J299)</f>
        <v/>
      </c>
      <c r="N293" s="67">
        <f>CHOOSE(Plan!$K$5,'Calc Smart'!K299,'Calc Avalanche'!K299,'Calc Snowball'!K299,'Calc Cashflow'!K299)</f>
        <v/>
      </c>
      <c r="O293" s="67">
        <f>CHOOSE(Plan!$K$5,'Calc Smart'!L299,'Calc Avalanche'!L299,'Calc Snowball'!L299,'Calc Cashflow'!L299)</f>
        <v/>
      </c>
      <c r="P293" s="67">
        <f>CHOOSE(Plan!$K$5,'Calc Smart'!M299,'Calc Avalanche'!M299,'Calc Snowball'!M299,'Calc Cashflow'!M299)</f>
        <v/>
      </c>
      <c r="Q293" s="67">
        <f>CHOOSE(Plan!$K$5,'Calc Smart'!N299,'Calc Avalanche'!N299,'Calc Snowball'!N299,'Calc Cashflow'!N299)</f>
        <v/>
      </c>
    </row>
    <row r="294">
      <c r="B294" s="64">
        <f>EDATE(Plan!$C$6,288)</f>
        <v/>
      </c>
      <c r="C294" s="31">
        <f>CHOOSE(Plan!$K$5,'Calc Smart'!AE300,'Calc Avalanche'!AE300,'Calc Snowball'!AE300,'Calc Cashflow'!AE300)</f>
        <v/>
      </c>
      <c r="D294" s="31">
        <f>CHOOSE(Plan!$K$5,'Calc Smart'!AD300,'Calc Avalanche'!AD300,'Calc Snowball'!AD300,'Calc Cashflow'!AD300)</f>
        <v/>
      </c>
      <c r="E294" s="40">
        <f>CHOOSE(Plan!$K$5,COUNTIF('Calc Smart'!C300:N300,"&gt;0"),COUNTIF('Calc Avalanche'!C300:N300,"&gt;0"),COUNTIF('Calc Snowball'!C300:N300,"&gt;0"),COUNTIF('Calc Cashflow'!C300:N300,"&gt;0"))</f>
        <v/>
      </c>
      <c r="F294" s="65">
        <f>CHOOSE(Plan!$K$5,'Calc Smart'!C300,'Calc Avalanche'!C300,'Calc Snowball'!C300,'Calc Cashflow'!C300)</f>
        <v/>
      </c>
      <c r="G294" s="65">
        <f>CHOOSE(Plan!$K$5,'Calc Smart'!D300,'Calc Avalanche'!D300,'Calc Snowball'!D300,'Calc Cashflow'!D300)</f>
        <v/>
      </c>
      <c r="H294" s="65">
        <f>CHOOSE(Plan!$K$5,'Calc Smart'!E300,'Calc Avalanche'!E300,'Calc Snowball'!E300,'Calc Cashflow'!E300)</f>
        <v/>
      </c>
      <c r="I294" s="65">
        <f>CHOOSE(Plan!$K$5,'Calc Smart'!F300,'Calc Avalanche'!F300,'Calc Snowball'!F300,'Calc Cashflow'!F300)</f>
        <v/>
      </c>
      <c r="J294" s="65">
        <f>CHOOSE(Plan!$K$5,'Calc Smart'!G300,'Calc Avalanche'!G300,'Calc Snowball'!G300,'Calc Cashflow'!G300)</f>
        <v/>
      </c>
      <c r="K294" s="65">
        <f>CHOOSE(Plan!$K$5,'Calc Smart'!H300,'Calc Avalanche'!H300,'Calc Snowball'!H300,'Calc Cashflow'!H300)</f>
        <v/>
      </c>
      <c r="L294" s="65">
        <f>CHOOSE(Plan!$K$5,'Calc Smart'!I300,'Calc Avalanche'!I300,'Calc Snowball'!I300,'Calc Cashflow'!I300)</f>
        <v/>
      </c>
      <c r="M294" s="65">
        <f>CHOOSE(Plan!$K$5,'Calc Smart'!J300,'Calc Avalanche'!J300,'Calc Snowball'!J300,'Calc Cashflow'!J300)</f>
        <v/>
      </c>
      <c r="N294" s="65">
        <f>CHOOSE(Plan!$K$5,'Calc Smart'!K300,'Calc Avalanche'!K300,'Calc Snowball'!K300,'Calc Cashflow'!K300)</f>
        <v/>
      </c>
      <c r="O294" s="65">
        <f>CHOOSE(Plan!$K$5,'Calc Smart'!L300,'Calc Avalanche'!L300,'Calc Snowball'!L300,'Calc Cashflow'!L300)</f>
        <v/>
      </c>
      <c r="P294" s="65">
        <f>CHOOSE(Plan!$K$5,'Calc Smart'!M300,'Calc Avalanche'!M300,'Calc Snowball'!M300,'Calc Cashflow'!M300)</f>
        <v/>
      </c>
      <c r="Q294" s="65">
        <f>CHOOSE(Plan!$K$5,'Calc Smart'!N300,'Calc Avalanche'!N300,'Calc Snowball'!N300,'Calc Cashflow'!N300)</f>
        <v/>
      </c>
    </row>
    <row r="295">
      <c r="B295" s="66">
        <f>EDATE(Plan!$C$6,289)</f>
        <v/>
      </c>
      <c r="C295" s="32">
        <f>CHOOSE(Plan!$K$5,'Calc Smart'!AE301,'Calc Avalanche'!AE301,'Calc Snowball'!AE301,'Calc Cashflow'!AE301)</f>
        <v/>
      </c>
      <c r="D295" s="32">
        <f>CHOOSE(Plan!$K$5,'Calc Smart'!AD301,'Calc Avalanche'!AD301,'Calc Snowball'!AD301,'Calc Cashflow'!AD301)</f>
        <v/>
      </c>
      <c r="E295" s="43">
        <f>CHOOSE(Plan!$K$5,COUNTIF('Calc Smart'!C301:N301,"&gt;0"),COUNTIF('Calc Avalanche'!C301:N301,"&gt;0"),COUNTIF('Calc Snowball'!C301:N301,"&gt;0"),COUNTIF('Calc Cashflow'!C301:N301,"&gt;0"))</f>
        <v/>
      </c>
      <c r="F295" s="67">
        <f>CHOOSE(Plan!$K$5,'Calc Smart'!C301,'Calc Avalanche'!C301,'Calc Snowball'!C301,'Calc Cashflow'!C301)</f>
        <v/>
      </c>
      <c r="G295" s="67">
        <f>CHOOSE(Plan!$K$5,'Calc Smart'!D301,'Calc Avalanche'!D301,'Calc Snowball'!D301,'Calc Cashflow'!D301)</f>
        <v/>
      </c>
      <c r="H295" s="67">
        <f>CHOOSE(Plan!$K$5,'Calc Smart'!E301,'Calc Avalanche'!E301,'Calc Snowball'!E301,'Calc Cashflow'!E301)</f>
        <v/>
      </c>
      <c r="I295" s="67">
        <f>CHOOSE(Plan!$K$5,'Calc Smart'!F301,'Calc Avalanche'!F301,'Calc Snowball'!F301,'Calc Cashflow'!F301)</f>
        <v/>
      </c>
      <c r="J295" s="67">
        <f>CHOOSE(Plan!$K$5,'Calc Smart'!G301,'Calc Avalanche'!G301,'Calc Snowball'!G301,'Calc Cashflow'!G301)</f>
        <v/>
      </c>
      <c r="K295" s="67">
        <f>CHOOSE(Plan!$K$5,'Calc Smart'!H301,'Calc Avalanche'!H301,'Calc Snowball'!H301,'Calc Cashflow'!H301)</f>
        <v/>
      </c>
      <c r="L295" s="67">
        <f>CHOOSE(Plan!$K$5,'Calc Smart'!I301,'Calc Avalanche'!I301,'Calc Snowball'!I301,'Calc Cashflow'!I301)</f>
        <v/>
      </c>
      <c r="M295" s="67">
        <f>CHOOSE(Plan!$K$5,'Calc Smart'!J301,'Calc Avalanche'!J301,'Calc Snowball'!J301,'Calc Cashflow'!J301)</f>
        <v/>
      </c>
      <c r="N295" s="67">
        <f>CHOOSE(Plan!$K$5,'Calc Smart'!K301,'Calc Avalanche'!K301,'Calc Snowball'!K301,'Calc Cashflow'!K301)</f>
        <v/>
      </c>
      <c r="O295" s="67">
        <f>CHOOSE(Plan!$K$5,'Calc Smart'!L301,'Calc Avalanche'!L301,'Calc Snowball'!L301,'Calc Cashflow'!L301)</f>
        <v/>
      </c>
      <c r="P295" s="67">
        <f>CHOOSE(Plan!$K$5,'Calc Smart'!M301,'Calc Avalanche'!M301,'Calc Snowball'!M301,'Calc Cashflow'!M301)</f>
        <v/>
      </c>
      <c r="Q295" s="67">
        <f>CHOOSE(Plan!$K$5,'Calc Smart'!N301,'Calc Avalanche'!N301,'Calc Snowball'!N301,'Calc Cashflow'!N301)</f>
        <v/>
      </c>
    </row>
    <row r="296">
      <c r="B296" s="64">
        <f>EDATE(Plan!$C$6,290)</f>
        <v/>
      </c>
      <c r="C296" s="31">
        <f>CHOOSE(Plan!$K$5,'Calc Smart'!AE302,'Calc Avalanche'!AE302,'Calc Snowball'!AE302,'Calc Cashflow'!AE302)</f>
        <v/>
      </c>
      <c r="D296" s="31">
        <f>CHOOSE(Plan!$K$5,'Calc Smart'!AD302,'Calc Avalanche'!AD302,'Calc Snowball'!AD302,'Calc Cashflow'!AD302)</f>
        <v/>
      </c>
      <c r="E296" s="40">
        <f>CHOOSE(Plan!$K$5,COUNTIF('Calc Smart'!C302:N302,"&gt;0"),COUNTIF('Calc Avalanche'!C302:N302,"&gt;0"),COUNTIF('Calc Snowball'!C302:N302,"&gt;0"),COUNTIF('Calc Cashflow'!C302:N302,"&gt;0"))</f>
        <v/>
      </c>
      <c r="F296" s="65">
        <f>CHOOSE(Plan!$K$5,'Calc Smart'!C302,'Calc Avalanche'!C302,'Calc Snowball'!C302,'Calc Cashflow'!C302)</f>
        <v/>
      </c>
      <c r="G296" s="65">
        <f>CHOOSE(Plan!$K$5,'Calc Smart'!D302,'Calc Avalanche'!D302,'Calc Snowball'!D302,'Calc Cashflow'!D302)</f>
        <v/>
      </c>
      <c r="H296" s="65">
        <f>CHOOSE(Plan!$K$5,'Calc Smart'!E302,'Calc Avalanche'!E302,'Calc Snowball'!E302,'Calc Cashflow'!E302)</f>
        <v/>
      </c>
      <c r="I296" s="65">
        <f>CHOOSE(Plan!$K$5,'Calc Smart'!F302,'Calc Avalanche'!F302,'Calc Snowball'!F302,'Calc Cashflow'!F302)</f>
        <v/>
      </c>
      <c r="J296" s="65">
        <f>CHOOSE(Plan!$K$5,'Calc Smart'!G302,'Calc Avalanche'!G302,'Calc Snowball'!G302,'Calc Cashflow'!G302)</f>
        <v/>
      </c>
      <c r="K296" s="65">
        <f>CHOOSE(Plan!$K$5,'Calc Smart'!H302,'Calc Avalanche'!H302,'Calc Snowball'!H302,'Calc Cashflow'!H302)</f>
        <v/>
      </c>
      <c r="L296" s="65">
        <f>CHOOSE(Plan!$K$5,'Calc Smart'!I302,'Calc Avalanche'!I302,'Calc Snowball'!I302,'Calc Cashflow'!I302)</f>
        <v/>
      </c>
      <c r="M296" s="65">
        <f>CHOOSE(Plan!$K$5,'Calc Smart'!J302,'Calc Avalanche'!J302,'Calc Snowball'!J302,'Calc Cashflow'!J302)</f>
        <v/>
      </c>
      <c r="N296" s="65">
        <f>CHOOSE(Plan!$K$5,'Calc Smart'!K302,'Calc Avalanche'!K302,'Calc Snowball'!K302,'Calc Cashflow'!K302)</f>
        <v/>
      </c>
      <c r="O296" s="65">
        <f>CHOOSE(Plan!$K$5,'Calc Smart'!L302,'Calc Avalanche'!L302,'Calc Snowball'!L302,'Calc Cashflow'!L302)</f>
        <v/>
      </c>
      <c r="P296" s="65">
        <f>CHOOSE(Plan!$K$5,'Calc Smart'!M302,'Calc Avalanche'!M302,'Calc Snowball'!M302,'Calc Cashflow'!M302)</f>
        <v/>
      </c>
      <c r="Q296" s="65">
        <f>CHOOSE(Plan!$K$5,'Calc Smart'!N302,'Calc Avalanche'!N302,'Calc Snowball'!N302,'Calc Cashflow'!N302)</f>
        <v/>
      </c>
    </row>
    <row r="297">
      <c r="B297" s="66">
        <f>EDATE(Plan!$C$6,291)</f>
        <v/>
      </c>
      <c r="C297" s="32">
        <f>CHOOSE(Plan!$K$5,'Calc Smart'!AE303,'Calc Avalanche'!AE303,'Calc Snowball'!AE303,'Calc Cashflow'!AE303)</f>
        <v/>
      </c>
      <c r="D297" s="32">
        <f>CHOOSE(Plan!$K$5,'Calc Smart'!AD303,'Calc Avalanche'!AD303,'Calc Snowball'!AD303,'Calc Cashflow'!AD303)</f>
        <v/>
      </c>
      <c r="E297" s="43">
        <f>CHOOSE(Plan!$K$5,COUNTIF('Calc Smart'!C303:N303,"&gt;0"),COUNTIF('Calc Avalanche'!C303:N303,"&gt;0"),COUNTIF('Calc Snowball'!C303:N303,"&gt;0"),COUNTIF('Calc Cashflow'!C303:N303,"&gt;0"))</f>
        <v/>
      </c>
      <c r="F297" s="67">
        <f>CHOOSE(Plan!$K$5,'Calc Smart'!C303,'Calc Avalanche'!C303,'Calc Snowball'!C303,'Calc Cashflow'!C303)</f>
        <v/>
      </c>
      <c r="G297" s="67">
        <f>CHOOSE(Plan!$K$5,'Calc Smart'!D303,'Calc Avalanche'!D303,'Calc Snowball'!D303,'Calc Cashflow'!D303)</f>
        <v/>
      </c>
      <c r="H297" s="67">
        <f>CHOOSE(Plan!$K$5,'Calc Smart'!E303,'Calc Avalanche'!E303,'Calc Snowball'!E303,'Calc Cashflow'!E303)</f>
        <v/>
      </c>
      <c r="I297" s="67">
        <f>CHOOSE(Plan!$K$5,'Calc Smart'!F303,'Calc Avalanche'!F303,'Calc Snowball'!F303,'Calc Cashflow'!F303)</f>
        <v/>
      </c>
      <c r="J297" s="67">
        <f>CHOOSE(Plan!$K$5,'Calc Smart'!G303,'Calc Avalanche'!G303,'Calc Snowball'!G303,'Calc Cashflow'!G303)</f>
        <v/>
      </c>
      <c r="K297" s="67">
        <f>CHOOSE(Plan!$K$5,'Calc Smart'!H303,'Calc Avalanche'!H303,'Calc Snowball'!H303,'Calc Cashflow'!H303)</f>
        <v/>
      </c>
      <c r="L297" s="67">
        <f>CHOOSE(Plan!$K$5,'Calc Smart'!I303,'Calc Avalanche'!I303,'Calc Snowball'!I303,'Calc Cashflow'!I303)</f>
        <v/>
      </c>
      <c r="M297" s="67">
        <f>CHOOSE(Plan!$K$5,'Calc Smart'!J303,'Calc Avalanche'!J303,'Calc Snowball'!J303,'Calc Cashflow'!J303)</f>
        <v/>
      </c>
      <c r="N297" s="67">
        <f>CHOOSE(Plan!$K$5,'Calc Smart'!K303,'Calc Avalanche'!K303,'Calc Snowball'!K303,'Calc Cashflow'!K303)</f>
        <v/>
      </c>
      <c r="O297" s="67">
        <f>CHOOSE(Plan!$K$5,'Calc Smart'!L303,'Calc Avalanche'!L303,'Calc Snowball'!L303,'Calc Cashflow'!L303)</f>
        <v/>
      </c>
      <c r="P297" s="67">
        <f>CHOOSE(Plan!$K$5,'Calc Smart'!M303,'Calc Avalanche'!M303,'Calc Snowball'!M303,'Calc Cashflow'!M303)</f>
        <v/>
      </c>
      <c r="Q297" s="67">
        <f>CHOOSE(Plan!$K$5,'Calc Smart'!N303,'Calc Avalanche'!N303,'Calc Snowball'!N303,'Calc Cashflow'!N303)</f>
        <v/>
      </c>
    </row>
    <row r="298">
      <c r="B298" s="64">
        <f>EDATE(Plan!$C$6,292)</f>
        <v/>
      </c>
      <c r="C298" s="31">
        <f>CHOOSE(Plan!$K$5,'Calc Smart'!AE304,'Calc Avalanche'!AE304,'Calc Snowball'!AE304,'Calc Cashflow'!AE304)</f>
        <v/>
      </c>
      <c r="D298" s="31">
        <f>CHOOSE(Plan!$K$5,'Calc Smart'!AD304,'Calc Avalanche'!AD304,'Calc Snowball'!AD304,'Calc Cashflow'!AD304)</f>
        <v/>
      </c>
      <c r="E298" s="40">
        <f>CHOOSE(Plan!$K$5,COUNTIF('Calc Smart'!C304:N304,"&gt;0"),COUNTIF('Calc Avalanche'!C304:N304,"&gt;0"),COUNTIF('Calc Snowball'!C304:N304,"&gt;0"),COUNTIF('Calc Cashflow'!C304:N304,"&gt;0"))</f>
        <v/>
      </c>
      <c r="F298" s="65">
        <f>CHOOSE(Plan!$K$5,'Calc Smart'!C304,'Calc Avalanche'!C304,'Calc Snowball'!C304,'Calc Cashflow'!C304)</f>
        <v/>
      </c>
      <c r="G298" s="65">
        <f>CHOOSE(Plan!$K$5,'Calc Smart'!D304,'Calc Avalanche'!D304,'Calc Snowball'!D304,'Calc Cashflow'!D304)</f>
        <v/>
      </c>
      <c r="H298" s="65">
        <f>CHOOSE(Plan!$K$5,'Calc Smart'!E304,'Calc Avalanche'!E304,'Calc Snowball'!E304,'Calc Cashflow'!E304)</f>
        <v/>
      </c>
      <c r="I298" s="65">
        <f>CHOOSE(Plan!$K$5,'Calc Smart'!F304,'Calc Avalanche'!F304,'Calc Snowball'!F304,'Calc Cashflow'!F304)</f>
        <v/>
      </c>
      <c r="J298" s="65">
        <f>CHOOSE(Plan!$K$5,'Calc Smart'!G304,'Calc Avalanche'!G304,'Calc Snowball'!G304,'Calc Cashflow'!G304)</f>
        <v/>
      </c>
      <c r="K298" s="65">
        <f>CHOOSE(Plan!$K$5,'Calc Smart'!H304,'Calc Avalanche'!H304,'Calc Snowball'!H304,'Calc Cashflow'!H304)</f>
        <v/>
      </c>
      <c r="L298" s="65">
        <f>CHOOSE(Plan!$K$5,'Calc Smart'!I304,'Calc Avalanche'!I304,'Calc Snowball'!I304,'Calc Cashflow'!I304)</f>
        <v/>
      </c>
      <c r="M298" s="65">
        <f>CHOOSE(Plan!$K$5,'Calc Smart'!J304,'Calc Avalanche'!J304,'Calc Snowball'!J304,'Calc Cashflow'!J304)</f>
        <v/>
      </c>
      <c r="N298" s="65">
        <f>CHOOSE(Plan!$K$5,'Calc Smart'!K304,'Calc Avalanche'!K304,'Calc Snowball'!K304,'Calc Cashflow'!K304)</f>
        <v/>
      </c>
      <c r="O298" s="65">
        <f>CHOOSE(Plan!$K$5,'Calc Smart'!L304,'Calc Avalanche'!L304,'Calc Snowball'!L304,'Calc Cashflow'!L304)</f>
        <v/>
      </c>
      <c r="P298" s="65">
        <f>CHOOSE(Plan!$K$5,'Calc Smart'!M304,'Calc Avalanche'!M304,'Calc Snowball'!M304,'Calc Cashflow'!M304)</f>
        <v/>
      </c>
      <c r="Q298" s="65">
        <f>CHOOSE(Plan!$K$5,'Calc Smart'!N304,'Calc Avalanche'!N304,'Calc Snowball'!N304,'Calc Cashflow'!N304)</f>
        <v/>
      </c>
    </row>
    <row r="299">
      <c r="B299" s="66">
        <f>EDATE(Plan!$C$6,293)</f>
        <v/>
      </c>
      <c r="C299" s="32">
        <f>CHOOSE(Plan!$K$5,'Calc Smart'!AE305,'Calc Avalanche'!AE305,'Calc Snowball'!AE305,'Calc Cashflow'!AE305)</f>
        <v/>
      </c>
      <c r="D299" s="32">
        <f>CHOOSE(Plan!$K$5,'Calc Smart'!AD305,'Calc Avalanche'!AD305,'Calc Snowball'!AD305,'Calc Cashflow'!AD305)</f>
        <v/>
      </c>
      <c r="E299" s="43">
        <f>CHOOSE(Plan!$K$5,COUNTIF('Calc Smart'!C305:N305,"&gt;0"),COUNTIF('Calc Avalanche'!C305:N305,"&gt;0"),COUNTIF('Calc Snowball'!C305:N305,"&gt;0"),COUNTIF('Calc Cashflow'!C305:N305,"&gt;0"))</f>
        <v/>
      </c>
      <c r="F299" s="67">
        <f>CHOOSE(Plan!$K$5,'Calc Smart'!C305,'Calc Avalanche'!C305,'Calc Snowball'!C305,'Calc Cashflow'!C305)</f>
        <v/>
      </c>
      <c r="G299" s="67">
        <f>CHOOSE(Plan!$K$5,'Calc Smart'!D305,'Calc Avalanche'!D305,'Calc Snowball'!D305,'Calc Cashflow'!D305)</f>
        <v/>
      </c>
      <c r="H299" s="67">
        <f>CHOOSE(Plan!$K$5,'Calc Smart'!E305,'Calc Avalanche'!E305,'Calc Snowball'!E305,'Calc Cashflow'!E305)</f>
        <v/>
      </c>
      <c r="I299" s="67">
        <f>CHOOSE(Plan!$K$5,'Calc Smart'!F305,'Calc Avalanche'!F305,'Calc Snowball'!F305,'Calc Cashflow'!F305)</f>
        <v/>
      </c>
      <c r="J299" s="67">
        <f>CHOOSE(Plan!$K$5,'Calc Smart'!G305,'Calc Avalanche'!G305,'Calc Snowball'!G305,'Calc Cashflow'!G305)</f>
        <v/>
      </c>
      <c r="K299" s="67">
        <f>CHOOSE(Plan!$K$5,'Calc Smart'!H305,'Calc Avalanche'!H305,'Calc Snowball'!H305,'Calc Cashflow'!H305)</f>
        <v/>
      </c>
      <c r="L299" s="67">
        <f>CHOOSE(Plan!$K$5,'Calc Smart'!I305,'Calc Avalanche'!I305,'Calc Snowball'!I305,'Calc Cashflow'!I305)</f>
        <v/>
      </c>
      <c r="M299" s="67">
        <f>CHOOSE(Plan!$K$5,'Calc Smart'!J305,'Calc Avalanche'!J305,'Calc Snowball'!J305,'Calc Cashflow'!J305)</f>
        <v/>
      </c>
      <c r="N299" s="67">
        <f>CHOOSE(Plan!$K$5,'Calc Smart'!K305,'Calc Avalanche'!K305,'Calc Snowball'!K305,'Calc Cashflow'!K305)</f>
        <v/>
      </c>
      <c r="O299" s="67">
        <f>CHOOSE(Plan!$K$5,'Calc Smart'!L305,'Calc Avalanche'!L305,'Calc Snowball'!L305,'Calc Cashflow'!L305)</f>
        <v/>
      </c>
      <c r="P299" s="67">
        <f>CHOOSE(Plan!$K$5,'Calc Smart'!M305,'Calc Avalanche'!M305,'Calc Snowball'!M305,'Calc Cashflow'!M305)</f>
        <v/>
      </c>
      <c r="Q299" s="67">
        <f>CHOOSE(Plan!$K$5,'Calc Smart'!N305,'Calc Avalanche'!N305,'Calc Snowball'!N305,'Calc Cashflow'!N305)</f>
        <v/>
      </c>
    </row>
    <row r="300">
      <c r="B300" s="64">
        <f>EDATE(Plan!$C$6,294)</f>
        <v/>
      </c>
      <c r="C300" s="31">
        <f>CHOOSE(Plan!$K$5,'Calc Smart'!AE306,'Calc Avalanche'!AE306,'Calc Snowball'!AE306,'Calc Cashflow'!AE306)</f>
        <v/>
      </c>
      <c r="D300" s="31">
        <f>CHOOSE(Plan!$K$5,'Calc Smart'!AD306,'Calc Avalanche'!AD306,'Calc Snowball'!AD306,'Calc Cashflow'!AD306)</f>
        <v/>
      </c>
      <c r="E300" s="40">
        <f>CHOOSE(Plan!$K$5,COUNTIF('Calc Smart'!C306:N306,"&gt;0"),COUNTIF('Calc Avalanche'!C306:N306,"&gt;0"),COUNTIF('Calc Snowball'!C306:N306,"&gt;0"),COUNTIF('Calc Cashflow'!C306:N306,"&gt;0"))</f>
        <v/>
      </c>
      <c r="F300" s="65">
        <f>CHOOSE(Plan!$K$5,'Calc Smart'!C306,'Calc Avalanche'!C306,'Calc Snowball'!C306,'Calc Cashflow'!C306)</f>
        <v/>
      </c>
      <c r="G300" s="65">
        <f>CHOOSE(Plan!$K$5,'Calc Smart'!D306,'Calc Avalanche'!D306,'Calc Snowball'!D306,'Calc Cashflow'!D306)</f>
        <v/>
      </c>
      <c r="H300" s="65">
        <f>CHOOSE(Plan!$K$5,'Calc Smart'!E306,'Calc Avalanche'!E306,'Calc Snowball'!E306,'Calc Cashflow'!E306)</f>
        <v/>
      </c>
      <c r="I300" s="65">
        <f>CHOOSE(Plan!$K$5,'Calc Smart'!F306,'Calc Avalanche'!F306,'Calc Snowball'!F306,'Calc Cashflow'!F306)</f>
        <v/>
      </c>
      <c r="J300" s="65">
        <f>CHOOSE(Plan!$K$5,'Calc Smart'!G306,'Calc Avalanche'!G306,'Calc Snowball'!G306,'Calc Cashflow'!G306)</f>
        <v/>
      </c>
      <c r="K300" s="65">
        <f>CHOOSE(Plan!$K$5,'Calc Smart'!H306,'Calc Avalanche'!H306,'Calc Snowball'!H306,'Calc Cashflow'!H306)</f>
        <v/>
      </c>
      <c r="L300" s="65">
        <f>CHOOSE(Plan!$K$5,'Calc Smart'!I306,'Calc Avalanche'!I306,'Calc Snowball'!I306,'Calc Cashflow'!I306)</f>
        <v/>
      </c>
      <c r="M300" s="65">
        <f>CHOOSE(Plan!$K$5,'Calc Smart'!J306,'Calc Avalanche'!J306,'Calc Snowball'!J306,'Calc Cashflow'!J306)</f>
        <v/>
      </c>
      <c r="N300" s="65">
        <f>CHOOSE(Plan!$K$5,'Calc Smart'!K306,'Calc Avalanche'!K306,'Calc Snowball'!K306,'Calc Cashflow'!K306)</f>
        <v/>
      </c>
      <c r="O300" s="65">
        <f>CHOOSE(Plan!$K$5,'Calc Smart'!L306,'Calc Avalanche'!L306,'Calc Snowball'!L306,'Calc Cashflow'!L306)</f>
        <v/>
      </c>
      <c r="P300" s="65">
        <f>CHOOSE(Plan!$K$5,'Calc Smart'!M306,'Calc Avalanche'!M306,'Calc Snowball'!M306,'Calc Cashflow'!M306)</f>
        <v/>
      </c>
      <c r="Q300" s="65">
        <f>CHOOSE(Plan!$K$5,'Calc Smart'!N306,'Calc Avalanche'!N306,'Calc Snowball'!N306,'Calc Cashflow'!N306)</f>
        <v/>
      </c>
    </row>
    <row r="301">
      <c r="B301" s="66">
        <f>EDATE(Plan!$C$6,295)</f>
        <v/>
      </c>
      <c r="C301" s="32">
        <f>CHOOSE(Plan!$K$5,'Calc Smart'!AE307,'Calc Avalanche'!AE307,'Calc Snowball'!AE307,'Calc Cashflow'!AE307)</f>
        <v/>
      </c>
      <c r="D301" s="32">
        <f>CHOOSE(Plan!$K$5,'Calc Smart'!AD307,'Calc Avalanche'!AD307,'Calc Snowball'!AD307,'Calc Cashflow'!AD307)</f>
        <v/>
      </c>
      <c r="E301" s="43">
        <f>CHOOSE(Plan!$K$5,COUNTIF('Calc Smart'!C307:N307,"&gt;0"),COUNTIF('Calc Avalanche'!C307:N307,"&gt;0"),COUNTIF('Calc Snowball'!C307:N307,"&gt;0"),COUNTIF('Calc Cashflow'!C307:N307,"&gt;0"))</f>
        <v/>
      </c>
      <c r="F301" s="67">
        <f>CHOOSE(Plan!$K$5,'Calc Smart'!C307,'Calc Avalanche'!C307,'Calc Snowball'!C307,'Calc Cashflow'!C307)</f>
        <v/>
      </c>
      <c r="G301" s="67">
        <f>CHOOSE(Plan!$K$5,'Calc Smart'!D307,'Calc Avalanche'!D307,'Calc Snowball'!D307,'Calc Cashflow'!D307)</f>
        <v/>
      </c>
      <c r="H301" s="67">
        <f>CHOOSE(Plan!$K$5,'Calc Smart'!E307,'Calc Avalanche'!E307,'Calc Snowball'!E307,'Calc Cashflow'!E307)</f>
        <v/>
      </c>
      <c r="I301" s="67">
        <f>CHOOSE(Plan!$K$5,'Calc Smart'!F307,'Calc Avalanche'!F307,'Calc Snowball'!F307,'Calc Cashflow'!F307)</f>
        <v/>
      </c>
      <c r="J301" s="67">
        <f>CHOOSE(Plan!$K$5,'Calc Smart'!G307,'Calc Avalanche'!G307,'Calc Snowball'!G307,'Calc Cashflow'!G307)</f>
        <v/>
      </c>
      <c r="K301" s="67">
        <f>CHOOSE(Plan!$K$5,'Calc Smart'!H307,'Calc Avalanche'!H307,'Calc Snowball'!H307,'Calc Cashflow'!H307)</f>
        <v/>
      </c>
      <c r="L301" s="67">
        <f>CHOOSE(Plan!$K$5,'Calc Smart'!I307,'Calc Avalanche'!I307,'Calc Snowball'!I307,'Calc Cashflow'!I307)</f>
        <v/>
      </c>
      <c r="M301" s="67">
        <f>CHOOSE(Plan!$K$5,'Calc Smart'!J307,'Calc Avalanche'!J307,'Calc Snowball'!J307,'Calc Cashflow'!J307)</f>
        <v/>
      </c>
      <c r="N301" s="67">
        <f>CHOOSE(Plan!$K$5,'Calc Smart'!K307,'Calc Avalanche'!K307,'Calc Snowball'!K307,'Calc Cashflow'!K307)</f>
        <v/>
      </c>
      <c r="O301" s="67">
        <f>CHOOSE(Plan!$K$5,'Calc Smart'!L307,'Calc Avalanche'!L307,'Calc Snowball'!L307,'Calc Cashflow'!L307)</f>
        <v/>
      </c>
      <c r="P301" s="67">
        <f>CHOOSE(Plan!$K$5,'Calc Smart'!M307,'Calc Avalanche'!M307,'Calc Snowball'!M307,'Calc Cashflow'!M307)</f>
        <v/>
      </c>
      <c r="Q301" s="67">
        <f>CHOOSE(Plan!$K$5,'Calc Smart'!N307,'Calc Avalanche'!N307,'Calc Snowball'!N307,'Calc Cashflow'!N307)</f>
        <v/>
      </c>
    </row>
    <row r="302">
      <c r="B302" s="64">
        <f>EDATE(Plan!$C$6,296)</f>
        <v/>
      </c>
      <c r="C302" s="31">
        <f>CHOOSE(Plan!$K$5,'Calc Smart'!AE308,'Calc Avalanche'!AE308,'Calc Snowball'!AE308,'Calc Cashflow'!AE308)</f>
        <v/>
      </c>
      <c r="D302" s="31">
        <f>CHOOSE(Plan!$K$5,'Calc Smart'!AD308,'Calc Avalanche'!AD308,'Calc Snowball'!AD308,'Calc Cashflow'!AD308)</f>
        <v/>
      </c>
      <c r="E302" s="40">
        <f>CHOOSE(Plan!$K$5,COUNTIF('Calc Smart'!C308:N308,"&gt;0"),COUNTIF('Calc Avalanche'!C308:N308,"&gt;0"),COUNTIF('Calc Snowball'!C308:N308,"&gt;0"),COUNTIF('Calc Cashflow'!C308:N308,"&gt;0"))</f>
        <v/>
      </c>
      <c r="F302" s="65">
        <f>CHOOSE(Plan!$K$5,'Calc Smart'!C308,'Calc Avalanche'!C308,'Calc Snowball'!C308,'Calc Cashflow'!C308)</f>
        <v/>
      </c>
      <c r="G302" s="65">
        <f>CHOOSE(Plan!$K$5,'Calc Smart'!D308,'Calc Avalanche'!D308,'Calc Snowball'!D308,'Calc Cashflow'!D308)</f>
        <v/>
      </c>
      <c r="H302" s="65">
        <f>CHOOSE(Plan!$K$5,'Calc Smart'!E308,'Calc Avalanche'!E308,'Calc Snowball'!E308,'Calc Cashflow'!E308)</f>
        <v/>
      </c>
      <c r="I302" s="65">
        <f>CHOOSE(Plan!$K$5,'Calc Smart'!F308,'Calc Avalanche'!F308,'Calc Snowball'!F308,'Calc Cashflow'!F308)</f>
        <v/>
      </c>
      <c r="J302" s="65">
        <f>CHOOSE(Plan!$K$5,'Calc Smart'!G308,'Calc Avalanche'!G308,'Calc Snowball'!G308,'Calc Cashflow'!G308)</f>
        <v/>
      </c>
      <c r="K302" s="65">
        <f>CHOOSE(Plan!$K$5,'Calc Smart'!H308,'Calc Avalanche'!H308,'Calc Snowball'!H308,'Calc Cashflow'!H308)</f>
        <v/>
      </c>
      <c r="L302" s="65">
        <f>CHOOSE(Plan!$K$5,'Calc Smart'!I308,'Calc Avalanche'!I308,'Calc Snowball'!I308,'Calc Cashflow'!I308)</f>
        <v/>
      </c>
      <c r="M302" s="65">
        <f>CHOOSE(Plan!$K$5,'Calc Smart'!J308,'Calc Avalanche'!J308,'Calc Snowball'!J308,'Calc Cashflow'!J308)</f>
        <v/>
      </c>
      <c r="N302" s="65">
        <f>CHOOSE(Plan!$K$5,'Calc Smart'!K308,'Calc Avalanche'!K308,'Calc Snowball'!K308,'Calc Cashflow'!K308)</f>
        <v/>
      </c>
      <c r="O302" s="65">
        <f>CHOOSE(Plan!$K$5,'Calc Smart'!L308,'Calc Avalanche'!L308,'Calc Snowball'!L308,'Calc Cashflow'!L308)</f>
        <v/>
      </c>
      <c r="P302" s="65">
        <f>CHOOSE(Plan!$K$5,'Calc Smart'!M308,'Calc Avalanche'!M308,'Calc Snowball'!M308,'Calc Cashflow'!M308)</f>
        <v/>
      </c>
      <c r="Q302" s="65">
        <f>CHOOSE(Plan!$K$5,'Calc Smart'!N308,'Calc Avalanche'!N308,'Calc Snowball'!N308,'Calc Cashflow'!N308)</f>
        <v/>
      </c>
    </row>
    <row r="303">
      <c r="B303" s="66">
        <f>EDATE(Plan!$C$6,297)</f>
        <v/>
      </c>
      <c r="C303" s="32">
        <f>CHOOSE(Plan!$K$5,'Calc Smart'!AE309,'Calc Avalanche'!AE309,'Calc Snowball'!AE309,'Calc Cashflow'!AE309)</f>
        <v/>
      </c>
      <c r="D303" s="32">
        <f>CHOOSE(Plan!$K$5,'Calc Smart'!AD309,'Calc Avalanche'!AD309,'Calc Snowball'!AD309,'Calc Cashflow'!AD309)</f>
        <v/>
      </c>
      <c r="E303" s="43">
        <f>CHOOSE(Plan!$K$5,COUNTIF('Calc Smart'!C309:N309,"&gt;0"),COUNTIF('Calc Avalanche'!C309:N309,"&gt;0"),COUNTIF('Calc Snowball'!C309:N309,"&gt;0"),COUNTIF('Calc Cashflow'!C309:N309,"&gt;0"))</f>
        <v/>
      </c>
      <c r="F303" s="67">
        <f>CHOOSE(Plan!$K$5,'Calc Smart'!C309,'Calc Avalanche'!C309,'Calc Snowball'!C309,'Calc Cashflow'!C309)</f>
        <v/>
      </c>
      <c r="G303" s="67">
        <f>CHOOSE(Plan!$K$5,'Calc Smart'!D309,'Calc Avalanche'!D309,'Calc Snowball'!D309,'Calc Cashflow'!D309)</f>
        <v/>
      </c>
      <c r="H303" s="67">
        <f>CHOOSE(Plan!$K$5,'Calc Smart'!E309,'Calc Avalanche'!E309,'Calc Snowball'!E309,'Calc Cashflow'!E309)</f>
        <v/>
      </c>
      <c r="I303" s="67">
        <f>CHOOSE(Plan!$K$5,'Calc Smart'!F309,'Calc Avalanche'!F309,'Calc Snowball'!F309,'Calc Cashflow'!F309)</f>
        <v/>
      </c>
      <c r="J303" s="67">
        <f>CHOOSE(Plan!$K$5,'Calc Smart'!G309,'Calc Avalanche'!G309,'Calc Snowball'!G309,'Calc Cashflow'!G309)</f>
        <v/>
      </c>
      <c r="K303" s="67">
        <f>CHOOSE(Plan!$K$5,'Calc Smart'!H309,'Calc Avalanche'!H309,'Calc Snowball'!H309,'Calc Cashflow'!H309)</f>
        <v/>
      </c>
      <c r="L303" s="67">
        <f>CHOOSE(Plan!$K$5,'Calc Smart'!I309,'Calc Avalanche'!I309,'Calc Snowball'!I309,'Calc Cashflow'!I309)</f>
        <v/>
      </c>
      <c r="M303" s="67">
        <f>CHOOSE(Plan!$K$5,'Calc Smart'!J309,'Calc Avalanche'!J309,'Calc Snowball'!J309,'Calc Cashflow'!J309)</f>
        <v/>
      </c>
      <c r="N303" s="67">
        <f>CHOOSE(Plan!$K$5,'Calc Smart'!K309,'Calc Avalanche'!K309,'Calc Snowball'!K309,'Calc Cashflow'!K309)</f>
        <v/>
      </c>
      <c r="O303" s="67">
        <f>CHOOSE(Plan!$K$5,'Calc Smart'!L309,'Calc Avalanche'!L309,'Calc Snowball'!L309,'Calc Cashflow'!L309)</f>
        <v/>
      </c>
      <c r="P303" s="67">
        <f>CHOOSE(Plan!$K$5,'Calc Smart'!M309,'Calc Avalanche'!M309,'Calc Snowball'!M309,'Calc Cashflow'!M309)</f>
        <v/>
      </c>
      <c r="Q303" s="67">
        <f>CHOOSE(Plan!$K$5,'Calc Smart'!N309,'Calc Avalanche'!N309,'Calc Snowball'!N309,'Calc Cashflow'!N309)</f>
        <v/>
      </c>
    </row>
    <row r="304">
      <c r="B304" s="64">
        <f>EDATE(Plan!$C$6,298)</f>
        <v/>
      </c>
      <c r="C304" s="31">
        <f>CHOOSE(Plan!$K$5,'Calc Smart'!AE310,'Calc Avalanche'!AE310,'Calc Snowball'!AE310,'Calc Cashflow'!AE310)</f>
        <v/>
      </c>
      <c r="D304" s="31">
        <f>CHOOSE(Plan!$K$5,'Calc Smart'!AD310,'Calc Avalanche'!AD310,'Calc Snowball'!AD310,'Calc Cashflow'!AD310)</f>
        <v/>
      </c>
      <c r="E304" s="40">
        <f>CHOOSE(Plan!$K$5,COUNTIF('Calc Smart'!C310:N310,"&gt;0"),COUNTIF('Calc Avalanche'!C310:N310,"&gt;0"),COUNTIF('Calc Snowball'!C310:N310,"&gt;0"),COUNTIF('Calc Cashflow'!C310:N310,"&gt;0"))</f>
        <v/>
      </c>
      <c r="F304" s="65">
        <f>CHOOSE(Plan!$K$5,'Calc Smart'!C310,'Calc Avalanche'!C310,'Calc Snowball'!C310,'Calc Cashflow'!C310)</f>
        <v/>
      </c>
      <c r="G304" s="65">
        <f>CHOOSE(Plan!$K$5,'Calc Smart'!D310,'Calc Avalanche'!D310,'Calc Snowball'!D310,'Calc Cashflow'!D310)</f>
        <v/>
      </c>
      <c r="H304" s="65">
        <f>CHOOSE(Plan!$K$5,'Calc Smart'!E310,'Calc Avalanche'!E310,'Calc Snowball'!E310,'Calc Cashflow'!E310)</f>
        <v/>
      </c>
      <c r="I304" s="65">
        <f>CHOOSE(Plan!$K$5,'Calc Smart'!F310,'Calc Avalanche'!F310,'Calc Snowball'!F310,'Calc Cashflow'!F310)</f>
        <v/>
      </c>
      <c r="J304" s="65">
        <f>CHOOSE(Plan!$K$5,'Calc Smart'!G310,'Calc Avalanche'!G310,'Calc Snowball'!G310,'Calc Cashflow'!G310)</f>
        <v/>
      </c>
      <c r="K304" s="65">
        <f>CHOOSE(Plan!$K$5,'Calc Smart'!H310,'Calc Avalanche'!H310,'Calc Snowball'!H310,'Calc Cashflow'!H310)</f>
        <v/>
      </c>
      <c r="L304" s="65">
        <f>CHOOSE(Plan!$K$5,'Calc Smart'!I310,'Calc Avalanche'!I310,'Calc Snowball'!I310,'Calc Cashflow'!I310)</f>
        <v/>
      </c>
      <c r="M304" s="65">
        <f>CHOOSE(Plan!$K$5,'Calc Smart'!J310,'Calc Avalanche'!J310,'Calc Snowball'!J310,'Calc Cashflow'!J310)</f>
        <v/>
      </c>
      <c r="N304" s="65">
        <f>CHOOSE(Plan!$K$5,'Calc Smart'!K310,'Calc Avalanche'!K310,'Calc Snowball'!K310,'Calc Cashflow'!K310)</f>
        <v/>
      </c>
      <c r="O304" s="65">
        <f>CHOOSE(Plan!$K$5,'Calc Smart'!L310,'Calc Avalanche'!L310,'Calc Snowball'!L310,'Calc Cashflow'!L310)</f>
        <v/>
      </c>
      <c r="P304" s="65">
        <f>CHOOSE(Plan!$K$5,'Calc Smart'!M310,'Calc Avalanche'!M310,'Calc Snowball'!M310,'Calc Cashflow'!M310)</f>
        <v/>
      </c>
      <c r="Q304" s="65">
        <f>CHOOSE(Plan!$K$5,'Calc Smart'!N310,'Calc Avalanche'!N310,'Calc Snowball'!N310,'Calc Cashflow'!N310)</f>
        <v/>
      </c>
    </row>
    <row r="305">
      <c r="B305" s="66">
        <f>EDATE(Plan!$C$6,299)</f>
        <v/>
      </c>
      <c r="C305" s="32">
        <f>CHOOSE(Plan!$K$5,'Calc Smart'!AE311,'Calc Avalanche'!AE311,'Calc Snowball'!AE311,'Calc Cashflow'!AE311)</f>
        <v/>
      </c>
      <c r="D305" s="32">
        <f>CHOOSE(Plan!$K$5,'Calc Smart'!AD311,'Calc Avalanche'!AD311,'Calc Snowball'!AD311,'Calc Cashflow'!AD311)</f>
        <v/>
      </c>
      <c r="E305" s="43">
        <f>CHOOSE(Plan!$K$5,COUNTIF('Calc Smart'!C311:N311,"&gt;0"),COUNTIF('Calc Avalanche'!C311:N311,"&gt;0"),COUNTIF('Calc Snowball'!C311:N311,"&gt;0"),COUNTIF('Calc Cashflow'!C311:N311,"&gt;0"))</f>
        <v/>
      </c>
      <c r="F305" s="67">
        <f>CHOOSE(Plan!$K$5,'Calc Smart'!C311,'Calc Avalanche'!C311,'Calc Snowball'!C311,'Calc Cashflow'!C311)</f>
        <v/>
      </c>
      <c r="G305" s="67">
        <f>CHOOSE(Plan!$K$5,'Calc Smart'!D311,'Calc Avalanche'!D311,'Calc Snowball'!D311,'Calc Cashflow'!D311)</f>
        <v/>
      </c>
      <c r="H305" s="67">
        <f>CHOOSE(Plan!$K$5,'Calc Smart'!E311,'Calc Avalanche'!E311,'Calc Snowball'!E311,'Calc Cashflow'!E311)</f>
        <v/>
      </c>
      <c r="I305" s="67">
        <f>CHOOSE(Plan!$K$5,'Calc Smart'!F311,'Calc Avalanche'!F311,'Calc Snowball'!F311,'Calc Cashflow'!F311)</f>
        <v/>
      </c>
      <c r="J305" s="67">
        <f>CHOOSE(Plan!$K$5,'Calc Smart'!G311,'Calc Avalanche'!G311,'Calc Snowball'!G311,'Calc Cashflow'!G311)</f>
        <v/>
      </c>
      <c r="K305" s="67">
        <f>CHOOSE(Plan!$K$5,'Calc Smart'!H311,'Calc Avalanche'!H311,'Calc Snowball'!H311,'Calc Cashflow'!H311)</f>
        <v/>
      </c>
      <c r="L305" s="67">
        <f>CHOOSE(Plan!$K$5,'Calc Smart'!I311,'Calc Avalanche'!I311,'Calc Snowball'!I311,'Calc Cashflow'!I311)</f>
        <v/>
      </c>
      <c r="M305" s="67">
        <f>CHOOSE(Plan!$K$5,'Calc Smart'!J311,'Calc Avalanche'!J311,'Calc Snowball'!J311,'Calc Cashflow'!J311)</f>
        <v/>
      </c>
      <c r="N305" s="67">
        <f>CHOOSE(Plan!$K$5,'Calc Smart'!K311,'Calc Avalanche'!K311,'Calc Snowball'!K311,'Calc Cashflow'!K311)</f>
        <v/>
      </c>
      <c r="O305" s="67">
        <f>CHOOSE(Plan!$K$5,'Calc Smart'!L311,'Calc Avalanche'!L311,'Calc Snowball'!L311,'Calc Cashflow'!L311)</f>
        <v/>
      </c>
      <c r="P305" s="67">
        <f>CHOOSE(Plan!$K$5,'Calc Smart'!M311,'Calc Avalanche'!M311,'Calc Snowball'!M311,'Calc Cashflow'!M311)</f>
        <v/>
      </c>
      <c r="Q305" s="67">
        <f>CHOOSE(Plan!$K$5,'Calc Smart'!N311,'Calc Avalanche'!N311,'Calc Snowball'!N311,'Calc Cashflow'!N311)</f>
        <v/>
      </c>
    </row>
    <row r="306">
      <c r="B306" s="64">
        <f>EDATE(Plan!$C$6,300)</f>
        <v/>
      </c>
      <c r="C306" s="31">
        <f>CHOOSE(Plan!$K$5,'Calc Smart'!AE312,'Calc Avalanche'!AE312,'Calc Snowball'!AE312,'Calc Cashflow'!AE312)</f>
        <v/>
      </c>
      <c r="D306" s="31">
        <f>CHOOSE(Plan!$K$5,'Calc Smart'!AD312,'Calc Avalanche'!AD312,'Calc Snowball'!AD312,'Calc Cashflow'!AD312)</f>
        <v/>
      </c>
      <c r="E306" s="40">
        <f>CHOOSE(Plan!$K$5,COUNTIF('Calc Smart'!C312:N312,"&gt;0"),COUNTIF('Calc Avalanche'!C312:N312,"&gt;0"),COUNTIF('Calc Snowball'!C312:N312,"&gt;0"),COUNTIF('Calc Cashflow'!C312:N312,"&gt;0"))</f>
        <v/>
      </c>
      <c r="F306" s="65">
        <f>CHOOSE(Plan!$K$5,'Calc Smart'!C312,'Calc Avalanche'!C312,'Calc Snowball'!C312,'Calc Cashflow'!C312)</f>
        <v/>
      </c>
      <c r="G306" s="65">
        <f>CHOOSE(Plan!$K$5,'Calc Smart'!D312,'Calc Avalanche'!D312,'Calc Snowball'!D312,'Calc Cashflow'!D312)</f>
        <v/>
      </c>
      <c r="H306" s="65">
        <f>CHOOSE(Plan!$K$5,'Calc Smart'!E312,'Calc Avalanche'!E312,'Calc Snowball'!E312,'Calc Cashflow'!E312)</f>
        <v/>
      </c>
      <c r="I306" s="65">
        <f>CHOOSE(Plan!$K$5,'Calc Smart'!F312,'Calc Avalanche'!F312,'Calc Snowball'!F312,'Calc Cashflow'!F312)</f>
        <v/>
      </c>
      <c r="J306" s="65">
        <f>CHOOSE(Plan!$K$5,'Calc Smart'!G312,'Calc Avalanche'!G312,'Calc Snowball'!G312,'Calc Cashflow'!G312)</f>
        <v/>
      </c>
      <c r="K306" s="65">
        <f>CHOOSE(Plan!$K$5,'Calc Smart'!H312,'Calc Avalanche'!H312,'Calc Snowball'!H312,'Calc Cashflow'!H312)</f>
        <v/>
      </c>
      <c r="L306" s="65">
        <f>CHOOSE(Plan!$K$5,'Calc Smart'!I312,'Calc Avalanche'!I312,'Calc Snowball'!I312,'Calc Cashflow'!I312)</f>
        <v/>
      </c>
      <c r="M306" s="65">
        <f>CHOOSE(Plan!$K$5,'Calc Smart'!J312,'Calc Avalanche'!J312,'Calc Snowball'!J312,'Calc Cashflow'!J312)</f>
        <v/>
      </c>
      <c r="N306" s="65">
        <f>CHOOSE(Plan!$K$5,'Calc Smart'!K312,'Calc Avalanche'!K312,'Calc Snowball'!K312,'Calc Cashflow'!K312)</f>
        <v/>
      </c>
      <c r="O306" s="65">
        <f>CHOOSE(Plan!$K$5,'Calc Smart'!L312,'Calc Avalanche'!L312,'Calc Snowball'!L312,'Calc Cashflow'!L312)</f>
        <v/>
      </c>
      <c r="P306" s="65">
        <f>CHOOSE(Plan!$K$5,'Calc Smart'!M312,'Calc Avalanche'!M312,'Calc Snowball'!M312,'Calc Cashflow'!M312)</f>
        <v/>
      </c>
      <c r="Q306" s="65">
        <f>CHOOSE(Plan!$K$5,'Calc Smart'!N312,'Calc Avalanche'!N312,'Calc Snowball'!N312,'Calc Cashflow'!N312)</f>
        <v/>
      </c>
    </row>
    <row r="307">
      <c r="B307" s="66">
        <f>EDATE(Plan!$C$6,301)</f>
        <v/>
      </c>
      <c r="C307" s="32">
        <f>CHOOSE(Plan!$K$5,'Calc Smart'!AE313,'Calc Avalanche'!AE313,'Calc Snowball'!AE313,'Calc Cashflow'!AE313)</f>
        <v/>
      </c>
      <c r="D307" s="32">
        <f>CHOOSE(Plan!$K$5,'Calc Smart'!AD313,'Calc Avalanche'!AD313,'Calc Snowball'!AD313,'Calc Cashflow'!AD313)</f>
        <v/>
      </c>
      <c r="E307" s="43">
        <f>CHOOSE(Plan!$K$5,COUNTIF('Calc Smart'!C313:N313,"&gt;0"),COUNTIF('Calc Avalanche'!C313:N313,"&gt;0"),COUNTIF('Calc Snowball'!C313:N313,"&gt;0"),COUNTIF('Calc Cashflow'!C313:N313,"&gt;0"))</f>
        <v/>
      </c>
      <c r="F307" s="67">
        <f>CHOOSE(Plan!$K$5,'Calc Smart'!C313,'Calc Avalanche'!C313,'Calc Snowball'!C313,'Calc Cashflow'!C313)</f>
        <v/>
      </c>
      <c r="G307" s="67">
        <f>CHOOSE(Plan!$K$5,'Calc Smart'!D313,'Calc Avalanche'!D313,'Calc Snowball'!D313,'Calc Cashflow'!D313)</f>
        <v/>
      </c>
      <c r="H307" s="67">
        <f>CHOOSE(Plan!$K$5,'Calc Smart'!E313,'Calc Avalanche'!E313,'Calc Snowball'!E313,'Calc Cashflow'!E313)</f>
        <v/>
      </c>
      <c r="I307" s="67">
        <f>CHOOSE(Plan!$K$5,'Calc Smart'!F313,'Calc Avalanche'!F313,'Calc Snowball'!F313,'Calc Cashflow'!F313)</f>
        <v/>
      </c>
      <c r="J307" s="67">
        <f>CHOOSE(Plan!$K$5,'Calc Smart'!G313,'Calc Avalanche'!G313,'Calc Snowball'!G313,'Calc Cashflow'!G313)</f>
        <v/>
      </c>
      <c r="K307" s="67">
        <f>CHOOSE(Plan!$K$5,'Calc Smart'!H313,'Calc Avalanche'!H313,'Calc Snowball'!H313,'Calc Cashflow'!H313)</f>
        <v/>
      </c>
      <c r="L307" s="67">
        <f>CHOOSE(Plan!$K$5,'Calc Smart'!I313,'Calc Avalanche'!I313,'Calc Snowball'!I313,'Calc Cashflow'!I313)</f>
        <v/>
      </c>
      <c r="M307" s="67">
        <f>CHOOSE(Plan!$K$5,'Calc Smart'!J313,'Calc Avalanche'!J313,'Calc Snowball'!J313,'Calc Cashflow'!J313)</f>
        <v/>
      </c>
      <c r="N307" s="67">
        <f>CHOOSE(Plan!$K$5,'Calc Smart'!K313,'Calc Avalanche'!K313,'Calc Snowball'!K313,'Calc Cashflow'!K313)</f>
        <v/>
      </c>
      <c r="O307" s="67">
        <f>CHOOSE(Plan!$K$5,'Calc Smart'!L313,'Calc Avalanche'!L313,'Calc Snowball'!L313,'Calc Cashflow'!L313)</f>
        <v/>
      </c>
      <c r="P307" s="67">
        <f>CHOOSE(Plan!$K$5,'Calc Smart'!M313,'Calc Avalanche'!M313,'Calc Snowball'!M313,'Calc Cashflow'!M313)</f>
        <v/>
      </c>
      <c r="Q307" s="67">
        <f>CHOOSE(Plan!$K$5,'Calc Smart'!N313,'Calc Avalanche'!N313,'Calc Snowball'!N313,'Calc Cashflow'!N313)</f>
        <v/>
      </c>
    </row>
    <row r="308">
      <c r="B308" s="64">
        <f>EDATE(Plan!$C$6,302)</f>
        <v/>
      </c>
      <c r="C308" s="31">
        <f>CHOOSE(Plan!$K$5,'Calc Smart'!AE314,'Calc Avalanche'!AE314,'Calc Snowball'!AE314,'Calc Cashflow'!AE314)</f>
        <v/>
      </c>
      <c r="D308" s="31">
        <f>CHOOSE(Plan!$K$5,'Calc Smart'!AD314,'Calc Avalanche'!AD314,'Calc Snowball'!AD314,'Calc Cashflow'!AD314)</f>
        <v/>
      </c>
      <c r="E308" s="40">
        <f>CHOOSE(Plan!$K$5,COUNTIF('Calc Smart'!C314:N314,"&gt;0"),COUNTIF('Calc Avalanche'!C314:N314,"&gt;0"),COUNTIF('Calc Snowball'!C314:N314,"&gt;0"),COUNTIF('Calc Cashflow'!C314:N314,"&gt;0"))</f>
        <v/>
      </c>
      <c r="F308" s="65">
        <f>CHOOSE(Plan!$K$5,'Calc Smart'!C314,'Calc Avalanche'!C314,'Calc Snowball'!C314,'Calc Cashflow'!C314)</f>
        <v/>
      </c>
      <c r="G308" s="65">
        <f>CHOOSE(Plan!$K$5,'Calc Smart'!D314,'Calc Avalanche'!D314,'Calc Snowball'!D314,'Calc Cashflow'!D314)</f>
        <v/>
      </c>
      <c r="H308" s="65">
        <f>CHOOSE(Plan!$K$5,'Calc Smart'!E314,'Calc Avalanche'!E314,'Calc Snowball'!E314,'Calc Cashflow'!E314)</f>
        <v/>
      </c>
      <c r="I308" s="65">
        <f>CHOOSE(Plan!$K$5,'Calc Smart'!F314,'Calc Avalanche'!F314,'Calc Snowball'!F314,'Calc Cashflow'!F314)</f>
        <v/>
      </c>
      <c r="J308" s="65">
        <f>CHOOSE(Plan!$K$5,'Calc Smart'!G314,'Calc Avalanche'!G314,'Calc Snowball'!G314,'Calc Cashflow'!G314)</f>
        <v/>
      </c>
      <c r="K308" s="65">
        <f>CHOOSE(Plan!$K$5,'Calc Smart'!H314,'Calc Avalanche'!H314,'Calc Snowball'!H314,'Calc Cashflow'!H314)</f>
        <v/>
      </c>
      <c r="L308" s="65">
        <f>CHOOSE(Plan!$K$5,'Calc Smart'!I314,'Calc Avalanche'!I314,'Calc Snowball'!I314,'Calc Cashflow'!I314)</f>
        <v/>
      </c>
      <c r="M308" s="65">
        <f>CHOOSE(Plan!$K$5,'Calc Smart'!J314,'Calc Avalanche'!J314,'Calc Snowball'!J314,'Calc Cashflow'!J314)</f>
        <v/>
      </c>
      <c r="N308" s="65">
        <f>CHOOSE(Plan!$K$5,'Calc Smart'!K314,'Calc Avalanche'!K314,'Calc Snowball'!K314,'Calc Cashflow'!K314)</f>
        <v/>
      </c>
      <c r="O308" s="65">
        <f>CHOOSE(Plan!$K$5,'Calc Smart'!L314,'Calc Avalanche'!L314,'Calc Snowball'!L314,'Calc Cashflow'!L314)</f>
        <v/>
      </c>
      <c r="P308" s="65">
        <f>CHOOSE(Plan!$K$5,'Calc Smart'!M314,'Calc Avalanche'!M314,'Calc Snowball'!M314,'Calc Cashflow'!M314)</f>
        <v/>
      </c>
      <c r="Q308" s="65">
        <f>CHOOSE(Plan!$K$5,'Calc Smart'!N314,'Calc Avalanche'!N314,'Calc Snowball'!N314,'Calc Cashflow'!N314)</f>
        <v/>
      </c>
    </row>
    <row r="309">
      <c r="B309" s="66">
        <f>EDATE(Plan!$C$6,303)</f>
        <v/>
      </c>
      <c r="C309" s="32">
        <f>CHOOSE(Plan!$K$5,'Calc Smart'!AE315,'Calc Avalanche'!AE315,'Calc Snowball'!AE315,'Calc Cashflow'!AE315)</f>
        <v/>
      </c>
      <c r="D309" s="32">
        <f>CHOOSE(Plan!$K$5,'Calc Smart'!AD315,'Calc Avalanche'!AD315,'Calc Snowball'!AD315,'Calc Cashflow'!AD315)</f>
        <v/>
      </c>
      <c r="E309" s="43">
        <f>CHOOSE(Plan!$K$5,COUNTIF('Calc Smart'!C315:N315,"&gt;0"),COUNTIF('Calc Avalanche'!C315:N315,"&gt;0"),COUNTIF('Calc Snowball'!C315:N315,"&gt;0"),COUNTIF('Calc Cashflow'!C315:N315,"&gt;0"))</f>
        <v/>
      </c>
      <c r="F309" s="67">
        <f>CHOOSE(Plan!$K$5,'Calc Smart'!C315,'Calc Avalanche'!C315,'Calc Snowball'!C315,'Calc Cashflow'!C315)</f>
        <v/>
      </c>
      <c r="G309" s="67">
        <f>CHOOSE(Plan!$K$5,'Calc Smart'!D315,'Calc Avalanche'!D315,'Calc Snowball'!D315,'Calc Cashflow'!D315)</f>
        <v/>
      </c>
      <c r="H309" s="67">
        <f>CHOOSE(Plan!$K$5,'Calc Smart'!E315,'Calc Avalanche'!E315,'Calc Snowball'!E315,'Calc Cashflow'!E315)</f>
        <v/>
      </c>
      <c r="I309" s="67">
        <f>CHOOSE(Plan!$K$5,'Calc Smart'!F315,'Calc Avalanche'!F315,'Calc Snowball'!F315,'Calc Cashflow'!F315)</f>
        <v/>
      </c>
      <c r="J309" s="67">
        <f>CHOOSE(Plan!$K$5,'Calc Smart'!G315,'Calc Avalanche'!G315,'Calc Snowball'!G315,'Calc Cashflow'!G315)</f>
        <v/>
      </c>
      <c r="K309" s="67">
        <f>CHOOSE(Plan!$K$5,'Calc Smart'!H315,'Calc Avalanche'!H315,'Calc Snowball'!H315,'Calc Cashflow'!H315)</f>
        <v/>
      </c>
      <c r="L309" s="67">
        <f>CHOOSE(Plan!$K$5,'Calc Smart'!I315,'Calc Avalanche'!I315,'Calc Snowball'!I315,'Calc Cashflow'!I315)</f>
        <v/>
      </c>
      <c r="M309" s="67">
        <f>CHOOSE(Plan!$K$5,'Calc Smart'!J315,'Calc Avalanche'!J315,'Calc Snowball'!J315,'Calc Cashflow'!J315)</f>
        <v/>
      </c>
      <c r="N309" s="67">
        <f>CHOOSE(Plan!$K$5,'Calc Smart'!K315,'Calc Avalanche'!K315,'Calc Snowball'!K315,'Calc Cashflow'!K315)</f>
        <v/>
      </c>
      <c r="O309" s="67">
        <f>CHOOSE(Plan!$K$5,'Calc Smart'!L315,'Calc Avalanche'!L315,'Calc Snowball'!L315,'Calc Cashflow'!L315)</f>
        <v/>
      </c>
      <c r="P309" s="67">
        <f>CHOOSE(Plan!$K$5,'Calc Smart'!M315,'Calc Avalanche'!M315,'Calc Snowball'!M315,'Calc Cashflow'!M315)</f>
        <v/>
      </c>
      <c r="Q309" s="67">
        <f>CHOOSE(Plan!$K$5,'Calc Smart'!N315,'Calc Avalanche'!N315,'Calc Snowball'!N315,'Calc Cashflow'!N315)</f>
        <v/>
      </c>
    </row>
    <row r="310">
      <c r="B310" s="64">
        <f>EDATE(Plan!$C$6,304)</f>
        <v/>
      </c>
      <c r="C310" s="31">
        <f>CHOOSE(Plan!$K$5,'Calc Smart'!AE316,'Calc Avalanche'!AE316,'Calc Snowball'!AE316,'Calc Cashflow'!AE316)</f>
        <v/>
      </c>
      <c r="D310" s="31">
        <f>CHOOSE(Plan!$K$5,'Calc Smart'!AD316,'Calc Avalanche'!AD316,'Calc Snowball'!AD316,'Calc Cashflow'!AD316)</f>
        <v/>
      </c>
      <c r="E310" s="40">
        <f>CHOOSE(Plan!$K$5,COUNTIF('Calc Smart'!C316:N316,"&gt;0"),COUNTIF('Calc Avalanche'!C316:N316,"&gt;0"),COUNTIF('Calc Snowball'!C316:N316,"&gt;0"),COUNTIF('Calc Cashflow'!C316:N316,"&gt;0"))</f>
        <v/>
      </c>
      <c r="F310" s="65">
        <f>CHOOSE(Plan!$K$5,'Calc Smart'!C316,'Calc Avalanche'!C316,'Calc Snowball'!C316,'Calc Cashflow'!C316)</f>
        <v/>
      </c>
      <c r="G310" s="65">
        <f>CHOOSE(Plan!$K$5,'Calc Smart'!D316,'Calc Avalanche'!D316,'Calc Snowball'!D316,'Calc Cashflow'!D316)</f>
        <v/>
      </c>
      <c r="H310" s="65">
        <f>CHOOSE(Plan!$K$5,'Calc Smart'!E316,'Calc Avalanche'!E316,'Calc Snowball'!E316,'Calc Cashflow'!E316)</f>
        <v/>
      </c>
      <c r="I310" s="65">
        <f>CHOOSE(Plan!$K$5,'Calc Smart'!F316,'Calc Avalanche'!F316,'Calc Snowball'!F316,'Calc Cashflow'!F316)</f>
        <v/>
      </c>
      <c r="J310" s="65">
        <f>CHOOSE(Plan!$K$5,'Calc Smart'!G316,'Calc Avalanche'!G316,'Calc Snowball'!G316,'Calc Cashflow'!G316)</f>
        <v/>
      </c>
      <c r="K310" s="65">
        <f>CHOOSE(Plan!$K$5,'Calc Smart'!H316,'Calc Avalanche'!H316,'Calc Snowball'!H316,'Calc Cashflow'!H316)</f>
        <v/>
      </c>
      <c r="L310" s="65">
        <f>CHOOSE(Plan!$K$5,'Calc Smart'!I316,'Calc Avalanche'!I316,'Calc Snowball'!I316,'Calc Cashflow'!I316)</f>
        <v/>
      </c>
      <c r="M310" s="65">
        <f>CHOOSE(Plan!$K$5,'Calc Smart'!J316,'Calc Avalanche'!J316,'Calc Snowball'!J316,'Calc Cashflow'!J316)</f>
        <v/>
      </c>
      <c r="N310" s="65">
        <f>CHOOSE(Plan!$K$5,'Calc Smart'!K316,'Calc Avalanche'!K316,'Calc Snowball'!K316,'Calc Cashflow'!K316)</f>
        <v/>
      </c>
      <c r="O310" s="65">
        <f>CHOOSE(Plan!$K$5,'Calc Smart'!L316,'Calc Avalanche'!L316,'Calc Snowball'!L316,'Calc Cashflow'!L316)</f>
        <v/>
      </c>
      <c r="P310" s="65">
        <f>CHOOSE(Plan!$K$5,'Calc Smart'!M316,'Calc Avalanche'!M316,'Calc Snowball'!M316,'Calc Cashflow'!M316)</f>
        <v/>
      </c>
      <c r="Q310" s="65">
        <f>CHOOSE(Plan!$K$5,'Calc Smart'!N316,'Calc Avalanche'!N316,'Calc Snowball'!N316,'Calc Cashflow'!N316)</f>
        <v/>
      </c>
    </row>
    <row r="311">
      <c r="B311" s="66">
        <f>EDATE(Plan!$C$6,305)</f>
        <v/>
      </c>
      <c r="C311" s="32">
        <f>CHOOSE(Plan!$K$5,'Calc Smart'!AE317,'Calc Avalanche'!AE317,'Calc Snowball'!AE317,'Calc Cashflow'!AE317)</f>
        <v/>
      </c>
      <c r="D311" s="32">
        <f>CHOOSE(Plan!$K$5,'Calc Smart'!AD317,'Calc Avalanche'!AD317,'Calc Snowball'!AD317,'Calc Cashflow'!AD317)</f>
        <v/>
      </c>
      <c r="E311" s="43">
        <f>CHOOSE(Plan!$K$5,COUNTIF('Calc Smart'!C317:N317,"&gt;0"),COUNTIF('Calc Avalanche'!C317:N317,"&gt;0"),COUNTIF('Calc Snowball'!C317:N317,"&gt;0"),COUNTIF('Calc Cashflow'!C317:N317,"&gt;0"))</f>
        <v/>
      </c>
      <c r="F311" s="67">
        <f>CHOOSE(Plan!$K$5,'Calc Smart'!C317,'Calc Avalanche'!C317,'Calc Snowball'!C317,'Calc Cashflow'!C317)</f>
        <v/>
      </c>
      <c r="G311" s="67">
        <f>CHOOSE(Plan!$K$5,'Calc Smart'!D317,'Calc Avalanche'!D317,'Calc Snowball'!D317,'Calc Cashflow'!D317)</f>
        <v/>
      </c>
      <c r="H311" s="67">
        <f>CHOOSE(Plan!$K$5,'Calc Smart'!E317,'Calc Avalanche'!E317,'Calc Snowball'!E317,'Calc Cashflow'!E317)</f>
        <v/>
      </c>
      <c r="I311" s="67">
        <f>CHOOSE(Plan!$K$5,'Calc Smart'!F317,'Calc Avalanche'!F317,'Calc Snowball'!F317,'Calc Cashflow'!F317)</f>
        <v/>
      </c>
      <c r="J311" s="67">
        <f>CHOOSE(Plan!$K$5,'Calc Smart'!G317,'Calc Avalanche'!G317,'Calc Snowball'!G317,'Calc Cashflow'!G317)</f>
        <v/>
      </c>
      <c r="K311" s="67">
        <f>CHOOSE(Plan!$K$5,'Calc Smart'!H317,'Calc Avalanche'!H317,'Calc Snowball'!H317,'Calc Cashflow'!H317)</f>
        <v/>
      </c>
      <c r="L311" s="67">
        <f>CHOOSE(Plan!$K$5,'Calc Smart'!I317,'Calc Avalanche'!I317,'Calc Snowball'!I317,'Calc Cashflow'!I317)</f>
        <v/>
      </c>
      <c r="M311" s="67">
        <f>CHOOSE(Plan!$K$5,'Calc Smart'!J317,'Calc Avalanche'!J317,'Calc Snowball'!J317,'Calc Cashflow'!J317)</f>
        <v/>
      </c>
      <c r="N311" s="67">
        <f>CHOOSE(Plan!$K$5,'Calc Smart'!K317,'Calc Avalanche'!K317,'Calc Snowball'!K317,'Calc Cashflow'!K317)</f>
        <v/>
      </c>
      <c r="O311" s="67">
        <f>CHOOSE(Plan!$K$5,'Calc Smart'!L317,'Calc Avalanche'!L317,'Calc Snowball'!L317,'Calc Cashflow'!L317)</f>
        <v/>
      </c>
      <c r="P311" s="67">
        <f>CHOOSE(Plan!$K$5,'Calc Smart'!M317,'Calc Avalanche'!M317,'Calc Snowball'!M317,'Calc Cashflow'!M317)</f>
        <v/>
      </c>
      <c r="Q311" s="67">
        <f>CHOOSE(Plan!$K$5,'Calc Smart'!N317,'Calc Avalanche'!N317,'Calc Snowball'!N317,'Calc Cashflow'!N317)</f>
        <v/>
      </c>
    </row>
    <row r="312">
      <c r="B312" s="64">
        <f>EDATE(Plan!$C$6,306)</f>
        <v/>
      </c>
      <c r="C312" s="31">
        <f>CHOOSE(Plan!$K$5,'Calc Smart'!AE318,'Calc Avalanche'!AE318,'Calc Snowball'!AE318,'Calc Cashflow'!AE318)</f>
        <v/>
      </c>
      <c r="D312" s="31">
        <f>CHOOSE(Plan!$K$5,'Calc Smart'!AD318,'Calc Avalanche'!AD318,'Calc Snowball'!AD318,'Calc Cashflow'!AD318)</f>
        <v/>
      </c>
      <c r="E312" s="40">
        <f>CHOOSE(Plan!$K$5,COUNTIF('Calc Smart'!C318:N318,"&gt;0"),COUNTIF('Calc Avalanche'!C318:N318,"&gt;0"),COUNTIF('Calc Snowball'!C318:N318,"&gt;0"),COUNTIF('Calc Cashflow'!C318:N318,"&gt;0"))</f>
        <v/>
      </c>
      <c r="F312" s="65">
        <f>CHOOSE(Plan!$K$5,'Calc Smart'!C318,'Calc Avalanche'!C318,'Calc Snowball'!C318,'Calc Cashflow'!C318)</f>
        <v/>
      </c>
      <c r="G312" s="65">
        <f>CHOOSE(Plan!$K$5,'Calc Smart'!D318,'Calc Avalanche'!D318,'Calc Snowball'!D318,'Calc Cashflow'!D318)</f>
        <v/>
      </c>
      <c r="H312" s="65">
        <f>CHOOSE(Plan!$K$5,'Calc Smart'!E318,'Calc Avalanche'!E318,'Calc Snowball'!E318,'Calc Cashflow'!E318)</f>
        <v/>
      </c>
      <c r="I312" s="65">
        <f>CHOOSE(Plan!$K$5,'Calc Smart'!F318,'Calc Avalanche'!F318,'Calc Snowball'!F318,'Calc Cashflow'!F318)</f>
        <v/>
      </c>
      <c r="J312" s="65">
        <f>CHOOSE(Plan!$K$5,'Calc Smart'!G318,'Calc Avalanche'!G318,'Calc Snowball'!G318,'Calc Cashflow'!G318)</f>
        <v/>
      </c>
      <c r="K312" s="65">
        <f>CHOOSE(Plan!$K$5,'Calc Smart'!H318,'Calc Avalanche'!H318,'Calc Snowball'!H318,'Calc Cashflow'!H318)</f>
        <v/>
      </c>
      <c r="L312" s="65">
        <f>CHOOSE(Plan!$K$5,'Calc Smart'!I318,'Calc Avalanche'!I318,'Calc Snowball'!I318,'Calc Cashflow'!I318)</f>
        <v/>
      </c>
      <c r="M312" s="65">
        <f>CHOOSE(Plan!$K$5,'Calc Smart'!J318,'Calc Avalanche'!J318,'Calc Snowball'!J318,'Calc Cashflow'!J318)</f>
        <v/>
      </c>
      <c r="N312" s="65">
        <f>CHOOSE(Plan!$K$5,'Calc Smart'!K318,'Calc Avalanche'!K318,'Calc Snowball'!K318,'Calc Cashflow'!K318)</f>
        <v/>
      </c>
      <c r="O312" s="65">
        <f>CHOOSE(Plan!$K$5,'Calc Smart'!L318,'Calc Avalanche'!L318,'Calc Snowball'!L318,'Calc Cashflow'!L318)</f>
        <v/>
      </c>
      <c r="P312" s="65">
        <f>CHOOSE(Plan!$K$5,'Calc Smart'!M318,'Calc Avalanche'!M318,'Calc Snowball'!M318,'Calc Cashflow'!M318)</f>
        <v/>
      </c>
      <c r="Q312" s="65">
        <f>CHOOSE(Plan!$K$5,'Calc Smart'!N318,'Calc Avalanche'!N318,'Calc Snowball'!N318,'Calc Cashflow'!N318)</f>
        <v/>
      </c>
    </row>
    <row r="313">
      <c r="B313" s="66">
        <f>EDATE(Plan!$C$6,307)</f>
        <v/>
      </c>
      <c r="C313" s="32">
        <f>CHOOSE(Plan!$K$5,'Calc Smart'!AE319,'Calc Avalanche'!AE319,'Calc Snowball'!AE319,'Calc Cashflow'!AE319)</f>
        <v/>
      </c>
      <c r="D313" s="32">
        <f>CHOOSE(Plan!$K$5,'Calc Smart'!AD319,'Calc Avalanche'!AD319,'Calc Snowball'!AD319,'Calc Cashflow'!AD319)</f>
        <v/>
      </c>
      <c r="E313" s="43">
        <f>CHOOSE(Plan!$K$5,COUNTIF('Calc Smart'!C319:N319,"&gt;0"),COUNTIF('Calc Avalanche'!C319:N319,"&gt;0"),COUNTIF('Calc Snowball'!C319:N319,"&gt;0"),COUNTIF('Calc Cashflow'!C319:N319,"&gt;0"))</f>
        <v/>
      </c>
      <c r="F313" s="67">
        <f>CHOOSE(Plan!$K$5,'Calc Smart'!C319,'Calc Avalanche'!C319,'Calc Snowball'!C319,'Calc Cashflow'!C319)</f>
        <v/>
      </c>
      <c r="G313" s="67">
        <f>CHOOSE(Plan!$K$5,'Calc Smart'!D319,'Calc Avalanche'!D319,'Calc Snowball'!D319,'Calc Cashflow'!D319)</f>
        <v/>
      </c>
      <c r="H313" s="67">
        <f>CHOOSE(Plan!$K$5,'Calc Smart'!E319,'Calc Avalanche'!E319,'Calc Snowball'!E319,'Calc Cashflow'!E319)</f>
        <v/>
      </c>
      <c r="I313" s="67">
        <f>CHOOSE(Plan!$K$5,'Calc Smart'!F319,'Calc Avalanche'!F319,'Calc Snowball'!F319,'Calc Cashflow'!F319)</f>
        <v/>
      </c>
      <c r="J313" s="67">
        <f>CHOOSE(Plan!$K$5,'Calc Smart'!G319,'Calc Avalanche'!G319,'Calc Snowball'!G319,'Calc Cashflow'!G319)</f>
        <v/>
      </c>
      <c r="K313" s="67">
        <f>CHOOSE(Plan!$K$5,'Calc Smart'!H319,'Calc Avalanche'!H319,'Calc Snowball'!H319,'Calc Cashflow'!H319)</f>
        <v/>
      </c>
      <c r="L313" s="67">
        <f>CHOOSE(Plan!$K$5,'Calc Smart'!I319,'Calc Avalanche'!I319,'Calc Snowball'!I319,'Calc Cashflow'!I319)</f>
        <v/>
      </c>
      <c r="M313" s="67">
        <f>CHOOSE(Plan!$K$5,'Calc Smart'!J319,'Calc Avalanche'!J319,'Calc Snowball'!J319,'Calc Cashflow'!J319)</f>
        <v/>
      </c>
      <c r="N313" s="67">
        <f>CHOOSE(Plan!$K$5,'Calc Smart'!K319,'Calc Avalanche'!K319,'Calc Snowball'!K319,'Calc Cashflow'!K319)</f>
        <v/>
      </c>
      <c r="O313" s="67">
        <f>CHOOSE(Plan!$K$5,'Calc Smart'!L319,'Calc Avalanche'!L319,'Calc Snowball'!L319,'Calc Cashflow'!L319)</f>
        <v/>
      </c>
      <c r="P313" s="67">
        <f>CHOOSE(Plan!$K$5,'Calc Smart'!M319,'Calc Avalanche'!M319,'Calc Snowball'!M319,'Calc Cashflow'!M319)</f>
        <v/>
      </c>
      <c r="Q313" s="67">
        <f>CHOOSE(Plan!$K$5,'Calc Smart'!N319,'Calc Avalanche'!N319,'Calc Snowball'!N319,'Calc Cashflow'!N319)</f>
        <v/>
      </c>
    </row>
    <row r="314">
      <c r="B314" s="64">
        <f>EDATE(Plan!$C$6,308)</f>
        <v/>
      </c>
      <c r="C314" s="31">
        <f>CHOOSE(Plan!$K$5,'Calc Smart'!AE320,'Calc Avalanche'!AE320,'Calc Snowball'!AE320,'Calc Cashflow'!AE320)</f>
        <v/>
      </c>
      <c r="D314" s="31">
        <f>CHOOSE(Plan!$K$5,'Calc Smart'!AD320,'Calc Avalanche'!AD320,'Calc Snowball'!AD320,'Calc Cashflow'!AD320)</f>
        <v/>
      </c>
      <c r="E314" s="40">
        <f>CHOOSE(Plan!$K$5,COUNTIF('Calc Smart'!C320:N320,"&gt;0"),COUNTIF('Calc Avalanche'!C320:N320,"&gt;0"),COUNTIF('Calc Snowball'!C320:N320,"&gt;0"),COUNTIF('Calc Cashflow'!C320:N320,"&gt;0"))</f>
        <v/>
      </c>
      <c r="F314" s="65">
        <f>CHOOSE(Plan!$K$5,'Calc Smart'!C320,'Calc Avalanche'!C320,'Calc Snowball'!C320,'Calc Cashflow'!C320)</f>
        <v/>
      </c>
      <c r="G314" s="65">
        <f>CHOOSE(Plan!$K$5,'Calc Smart'!D320,'Calc Avalanche'!D320,'Calc Snowball'!D320,'Calc Cashflow'!D320)</f>
        <v/>
      </c>
      <c r="H314" s="65">
        <f>CHOOSE(Plan!$K$5,'Calc Smart'!E320,'Calc Avalanche'!E320,'Calc Snowball'!E320,'Calc Cashflow'!E320)</f>
        <v/>
      </c>
      <c r="I314" s="65">
        <f>CHOOSE(Plan!$K$5,'Calc Smart'!F320,'Calc Avalanche'!F320,'Calc Snowball'!F320,'Calc Cashflow'!F320)</f>
        <v/>
      </c>
      <c r="J314" s="65">
        <f>CHOOSE(Plan!$K$5,'Calc Smart'!G320,'Calc Avalanche'!G320,'Calc Snowball'!G320,'Calc Cashflow'!G320)</f>
        <v/>
      </c>
      <c r="K314" s="65">
        <f>CHOOSE(Plan!$K$5,'Calc Smart'!H320,'Calc Avalanche'!H320,'Calc Snowball'!H320,'Calc Cashflow'!H320)</f>
        <v/>
      </c>
      <c r="L314" s="65">
        <f>CHOOSE(Plan!$K$5,'Calc Smart'!I320,'Calc Avalanche'!I320,'Calc Snowball'!I320,'Calc Cashflow'!I320)</f>
        <v/>
      </c>
      <c r="M314" s="65">
        <f>CHOOSE(Plan!$K$5,'Calc Smart'!J320,'Calc Avalanche'!J320,'Calc Snowball'!J320,'Calc Cashflow'!J320)</f>
        <v/>
      </c>
      <c r="N314" s="65">
        <f>CHOOSE(Plan!$K$5,'Calc Smart'!K320,'Calc Avalanche'!K320,'Calc Snowball'!K320,'Calc Cashflow'!K320)</f>
        <v/>
      </c>
      <c r="O314" s="65">
        <f>CHOOSE(Plan!$K$5,'Calc Smart'!L320,'Calc Avalanche'!L320,'Calc Snowball'!L320,'Calc Cashflow'!L320)</f>
        <v/>
      </c>
      <c r="P314" s="65">
        <f>CHOOSE(Plan!$K$5,'Calc Smart'!M320,'Calc Avalanche'!M320,'Calc Snowball'!M320,'Calc Cashflow'!M320)</f>
        <v/>
      </c>
      <c r="Q314" s="65">
        <f>CHOOSE(Plan!$K$5,'Calc Smart'!N320,'Calc Avalanche'!N320,'Calc Snowball'!N320,'Calc Cashflow'!N320)</f>
        <v/>
      </c>
    </row>
    <row r="315">
      <c r="B315" s="66">
        <f>EDATE(Plan!$C$6,309)</f>
        <v/>
      </c>
      <c r="C315" s="32">
        <f>CHOOSE(Plan!$K$5,'Calc Smart'!AE321,'Calc Avalanche'!AE321,'Calc Snowball'!AE321,'Calc Cashflow'!AE321)</f>
        <v/>
      </c>
      <c r="D315" s="32">
        <f>CHOOSE(Plan!$K$5,'Calc Smart'!AD321,'Calc Avalanche'!AD321,'Calc Snowball'!AD321,'Calc Cashflow'!AD321)</f>
        <v/>
      </c>
      <c r="E315" s="43">
        <f>CHOOSE(Plan!$K$5,COUNTIF('Calc Smart'!C321:N321,"&gt;0"),COUNTIF('Calc Avalanche'!C321:N321,"&gt;0"),COUNTIF('Calc Snowball'!C321:N321,"&gt;0"),COUNTIF('Calc Cashflow'!C321:N321,"&gt;0"))</f>
        <v/>
      </c>
      <c r="F315" s="67">
        <f>CHOOSE(Plan!$K$5,'Calc Smart'!C321,'Calc Avalanche'!C321,'Calc Snowball'!C321,'Calc Cashflow'!C321)</f>
        <v/>
      </c>
      <c r="G315" s="67">
        <f>CHOOSE(Plan!$K$5,'Calc Smart'!D321,'Calc Avalanche'!D321,'Calc Snowball'!D321,'Calc Cashflow'!D321)</f>
        <v/>
      </c>
      <c r="H315" s="67">
        <f>CHOOSE(Plan!$K$5,'Calc Smart'!E321,'Calc Avalanche'!E321,'Calc Snowball'!E321,'Calc Cashflow'!E321)</f>
        <v/>
      </c>
      <c r="I315" s="67">
        <f>CHOOSE(Plan!$K$5,'Calc Smart'!F321,'Calc Avalanche'!F321,'Calc Snowball'!F321,'Calc Cashflow'!F321)</f>
        <v/>
      </c>
      <c r="J315" s="67">
        <f>CHOOSE(Plan!$K$5,'Calc Smart'!G321,'Calc Avalanche'!G321,'Calc Snowball'!G321,'Calc Cashflow'!G321)</f>
        <v/>
      </c>
      <c r="K315" s="67">
        <f>CHOOSE(Plan!$K$5,'Calc Smart'!H321,'Calc Avalanche'!H321,'Calc Snowball'!H321,'Calc Cashflow'!H321)</f>
        <v/>
      </c>
      <c r="L315" s="67">
        <f>CHOOSE(Plan!$K$5,'Calc Smart'!I321,'Calc Avalanche'!I321,'Calc Snowball'!I321,'Calc Cashflow'!I321)</f>
        <v/>
      </c>
      <c r="M315" s="67">
        <f>CHOOSE(Plan!$K$5,'Calc Smart'!J321,'Calc Avalanche'!J321,'Calc Snowball'!J321,'Calc Cashflow'!J321)</f>
        <v/>
      </c>
      <c r="N315" s="67">
        <f>CHOOSE(Plan!$K$5,'Calc Smart'!K321,'Calc Avalanche'!K321,'Calc Snowball'!K321,'Calc Cashflow'!K321)</f>
        <v/>
      </c>
      <c r="O315" s="67">
        <f>CHOOSE(Plan!$K$5,'Calc Smart'!L321,'Calc Avalanche'!L321,'Calc Snowball'!L321,'Calc Cashflow'!L321)</f>
        <v/>
      </c>
      <c r="P315" s="67">
        <f>CHOOSE(Plan!$K$5,'Calc Smart'!M321,'Calc Avalanche'!M321,'Calc Snowball'!M321,'Calc Cashflow'!M321)</f>
        <v/>
      </c>
      <c r="Q315" s="67">
        <f>CHOOSE(Plan!$K$5,'Calc Smart'!N321,'Calc Avalanche'!N321,'Calc Snowball'!N321,'Calc Cashflow'!N321)</f>
        <v/>
      </c>
    </row>
    <row r="316">
      <c r="B316" s="64">
        <f>EDATE(Plan!$C$6,310)</f>
        <v/>
      </c>
      <c r="C316" s="31">
        <f>CHOOSE(Plan!$K$5,'Calc Smart'!AE322,'Calc Avalanche'!AE322,'Calc Snowball'!AE322,'Calc Cashflow'!AE322)</f>
        <v/>
      </c>
      <c r="D316" s="31">
        <f>CHOOSE(Plan!$K$5,'Calc Smart'!AD322,'Calc Avalanche'!AD322,'Calc Snowball'!AD322,'Calc Cashflow'!AD322)</f>
        <v/>
      </c>
      <c r="E316" s="40">
        <f>CHOOSE(Plan!$K$5,COUNTIF('Calc Smart'!C322:N322,"&gt;0"),COUNTIF('Calc Avalanche'!C322:N322,"&gt;0"),COUNTIF('Calc Snowball'!C322:N322,"&gt;0"),COUNTIF('Calc Cashflow'!C322:N322,"&gt;0"))</f>
        <v/>
      </c>
      <c r="F316" s="65">
        <f>CHOOSE(Plan!$K$5,'Calc Smart'!C322,'Calc Avalanche'!C322,'Calc Snowball'!C322,'Calc Cashflow'!C322)</f>
        <v/>
      </c>
      <c r="G316" s="65">
        <f>CHOOSE(Plan!$K$5,'Calc Smart'!D322,'Calc Avalanche'!D322,'Calc Snowball'!D322,'Calc Cashflow'!D322)</f>
        <v/>
      </c>
      <c r="H316" s="65">
        <f>CHOOSE(Plan!$K$5,'Calc Smart'!E322,'Calc Avalanche'!E322,'Calc Snowball'!E322,'Calc Cashflow'!E322)</f>
        <v/>
      </c>
      <c r="I316" s="65">
        <f>CHOOSE(Plan!$K$5,'Calc Smart'!F322,'Calc Avalanche'!F322,'Calc Snowball'!F322,'Calc Cashflow'!F322)</f>
        <v/>
      </c>
      <c r="J316" s="65">
        <f>CHOOSE(Plan!$K$5,'Calc Smart'!G322,'Calc Avalanche'!G322,'Calc Snowball'!G322,'Calc Cashflow'!G322)</f>
        <v/>
      </c>
      <c r="K316" s="65">
        <f>CHOOSE(Plan!$K$5,'Calc Smart'!H322,'Calc Avalanche'!H322,'Calc Snowball'!H322,'Calc Cashflow'!H322)</f>
        <v/>
      </c>
      <c r="L316" s="65">
        <f>CHOOSE(Plan!$K$5,'Calc Smart'!I322,'Calc Avalanche'!I322,'Calc Snowball'!I322,'Calc Cashflow'!I322)</f>
        <v/>
      </c>
      <c r="M316" s="65">
        <f>CHOOSE(Plan!$K$5,'Calc Smart'!J322,'Calc Avalanche'!J322,'Calc Snowball'!J322,'Calc Cashflow'!J322)</f>
        <v/>
      </c>
      <c r="N316" s="65">
        <f>CHOOSE(Plan!$K$5,'Calc Smart'!K322,'Calc Avalanche'!K322,'Calc Snowball'!K322,'Calc Cashflow'!K322)</f>
        <v/>
      </c>
      <c r="O316" s="65">
        <f>CHOOSE(Plan!$K$5,'Calc Smart'!L322,'Calc Avalanche'!L322,'Calc Snowball'!L322,'Calc Cashflow'!L322)</f>
        <v/>
      </c>
      <c r="P316" s="65">
        <f>CHOOSE(Plan!$K$5,'Calc Smart'!M322,'Calc Avalanche'!M322,'Calc Snowball'!M322,'Calc Cashflow'!M322)</f>
        <v/>
      </c>
      <c r="Q316" s="65">
        <f>CHOOSE(Plan!$K$5,'Calc Smart'!N322,'Calc Avalanche'!N322,'Calc Snowball'!N322,'Calc Cashflow'!N322)</f>
        <v/>
      </c>
    </row>
    <row r="317">
      <c r="B317" s="66">
        <f>EDATE(Plan!$C$6,311)</f>
        <v/>
      </c>
      <c r="C317" s="32">
        <f>CHOOSE(Plan!$K$5,'Calc Smart'!AE323,'Calc Avalanche'!AE323,'Calc Snowball'!AE323,'Calc Cashflow'!AE323)</f>
        <v/>
      </c>
      <c r="D317" s="32">
        <f>CHOOSE(Plan!$K$5,'Calc Smart'!AD323,'Calc Avalanche'!AD323,'Calc Snowball'!AD323,'Calc Cashflow'!AD323)</f>
        <v/>
      </c>
      <c r="E317" s="43">
        <f>CHOOSE(Plan!$K$5,COUNTIF('Calc Smart'!C323:N323,"&gt;0"),COUNTIF('Calc Avalanche'!C323:N323,"&gt;0"),COUNTIF('Calc Snowball'!C323:N323,"&gt;0"),COUNTIF('Calc Cashflow'!C323:N323,"&gt;0"))</f>
        <v/>
      </c>
      <c r="F317" s="67">
        <f>CHOOSE(Plan!$K$5,'Calc Smart'!C323,'Calc Avalanche'!C323,'Calc Snowball'!C323,'Calc Cashflow'!C323)</f>
        <v/>
      </c>
      <c r="G317" s="67">
        <f>CHOOSE(Plan!$K$5,'Calc Smart'!D323,'Calc Avalanche'!D323,'Calc Snowball'!D323,'Calc Cashflow'!D323)</f>
        <v/>
      </c>
      <c r="H317" s="67">
        <f>CHOOSE(Plan!$K$5,'Calc Smart'!E323,'Calc Avalanche'!E323,'Calc Snowball'!E323,'Calc Cashflow'!E323)</f>
        <v/>
      </c>
      <c r="I317" s="67">
        <f>CHOOSE(Plan!$K$5,'Calc Smart'!F323,'Calc Avalanche'!F323,'Calc Snowball'!F323,'Calc Cashflow'!F323)</f>
        <v/>
      </c>
      <c r="J317" s="67">
        <f>CHOOSE(Plan!$K$5,'Calc Smart'!G323,'Calc Avalanche'!G323,'Calc Snowball'!G323,'Calc Cashflow'!G323)</f>
        <v/>
      </c>
      <c r="K317" s="67">
        <f>CHOOSE(Plan!$K$5,'Calc Smart'!H323,'Calc Avalanche'!H323,'Calc Snowball'!H323,'Calc Cashflow'!H323)</f>
        <v/>
      </c>
      <c r="L317" s="67">
        <f>CHOOSE(Plan!$K$5,'Calc Smart'!I323,'Calc Avalanche'!I323,'Calc Snowball'!I323,'Calc Cashflow'!I323)</f>
        <v/>
      </c>
      <c r="M317" s="67">
        <f>CHOOSE(Plan!$K$5,'Calc Smart'!J323,'Calc Avalanche'!J323,'Calc Snowball'!J323,'Calc Cashflow'!J323)</f>
        <v/>
      </c>
      <c r="N317" s="67">
        <f>CHOOSE(Plan!$K$5,'Calc Smart'!K323,'Calc Avalanche'!K323,'Calc Snowball'!K323,'Calc Cashflow'!K323)</f>
        <v/>
      </c>
      <c r="O317" s="67">
        <f>CHOOSE(Plan!$K$5,'Calc Smart'!L323,'Calc Avalanche'!L323,'Calc Snowball'!L323,'Calc Cashflow'!L323)</f>
        <v/>
      </c>
      <c r="P317" s="67">
        <f>CHOOSE(Plan!$K$5,'Calc Smart'!M323,'Calc Avalanche'!M323,'Calc Snowball'!M323,'Calc Cashflow'!M323)</f>
        <v/>
      </c>
      <c r="Q317" s="67">
        <f>CHOOSE(Plan!$K$5,'Calc Smart'!N323,'Calc Avalanche'!N323,'Calc Snowball'!N323,'Calc Cashflow'!N323)</f>
        <v/>
      </c>
    </row>
    <row r="318">
      <c r="B318" s="64">
        <f>EDATE(Plan!$C$6,312)</f>
        <v/>
      </c>
      <c r="C318" s="31">
        <f>CHOOSE(Plan!$K$5,'Calc Smart'!AE324,'Calc Avalanche'!AE324,'Calc Snowball'!AE324,'Calc Cashflow'!AE324)</f>
        <v/>
      </c>
      <c r="D318" s="31">
        <f>CHOOSE(Plan!$K$5,'Calc Smart'!AD324,'Calc Avalanche'!AD324,'Calc Snowball'!AD324,'Calc Cashflow'!AD324)</f>
        <v/>
      </c>
      <c r="E318" s="40">
        <f>CHOOSE(Plan!$K$5,COUNTIF('Calc Smart'!C324:N324,"&gt;0"),COUNTIF('Calc Avalanche'!C324:N324,"&gt;0"),COUNTIF('Calc Snowball'!C324:N324,"&gt;0"),COUNTIF('Calc Cashflow'!C324:N324,"&gt;0"))</f>
        <v/>
      </c>
      <c r="F318" s="65">
        <f>CHOOSE(Plan!$K$5,'Calc Smart'!C324,'Calc Avalanche'!C324,'Calc Snowball'!C324,'Calc Cashflow'!C324)</f>
        <v/>
      </c>
      <c r="G318" s="65">
        <f>CHOOSE(Plan!$K$5,'Calc Smart'!D324,'Calc Avalanche'!D324,'Calc Snowball'!D324,'Calc Cashflow'!D324)</f>
        <v/>
      </c>
      <c r="H318" s="65">
        <f>CHOOSE(Plan!$K$5,'Calc Smart'!E324,'Calc Avalanche'!E324,'Calc Snowball'!E324,'Calc Cashflow'!E324)</f>
        <v/>
      </c>
      <c r="I318" s="65">
        <f>CHOOSE(Plan!$K$5,'Calc Smart'!F324,'Calc Avalanche'!F324,'Calc Snowball'!F324,'Calc Cashflow'!F324)</f>
        <v/>
      </c>
      <c r="J318" s="65">
        <f>CHOOSE(Plan!$K$5,'Calc Smart'!G324,'Calc Avalanche'!G324,'Calc Snowball'!G324,'Calc Cashflow'!G324)</f>
        <v/>
      </c>
      <c r="K318" s="65">
        <f>CHOOSE(Plan!$K$5,'Calc Smart'!H324,'Calc Avalanche'!H324,'Calc Snowball'!H324,'Calc Cashflow'!H324)</f>
        <v/>
      </c>
      <c r="L318" s="65">
        <f>CHOOSE(Plan!$K$5,'Calc Smart'!I324,'Calc Avalanche'!I324,'Calc Snowball'!I324,'Calc Cashflow'!I324)</f>
        <v/>
      </c>
      <c r="M318" s="65">
        <f>CHOOSE(Plan!$K$5,'Calc Smart'!J324,'Calc Avalanche'!J324,'Calc Snowball'!J324,'Calc Cashflow'!J324)</f>
        <v/>
      </c>
      <c r="N318" s="65">
        <f>CHOOSE(Plan!$K$5,'Calc Smart'!K324,'Calc Avalanche'!K324,'Calc Snowball'!K324,'Calc Cashflow'!K324)</f>
        <v/>
      </c>
      <c r="O318" s="65">
        <f>CHOOSE(Plan!$K$5,'Calc Smart'!L324,'Calc Avalanche'!L324,'Calc Snowball'!L324,'Calc Cashflow'!L324)</f>
        <v/>
      </c>
      <c r="P318" s="65">
        <f>CHOOSE(Plan!$K$5,'Calc Smart'!M324,'Calc Avalanche'!M324,'Calc Snowball'!M324,'Calc Cashflow'!M324)</f>
        <v/>
      </c>
      <c r="Q318" s="65">
        <f>CHOOSE(Plan!$K$5,'Calc Smart'!N324,'Calc Avalanche'!N324,'Calc Snowball'!N324,'Calc Cashflow'!N324)</f>
        <v/>
      </c>
    </row>
    <row r="319">
      <c r="B319" s="66">
        <f>EDATE(Plan!$C$6,313)</f>
        <v/>
      </c>
      <c r="C319" s="32">
        <f>CHOOSE(Plan!$K$5,'Calc Smart'!AE325,'Calc Avalanche'!AE325,'Calc Snowball'!AE325,'Calc Cashflow'!AE325)</f>
        <v/>
      </c>
      <c r="D319" s="32">
        <f>CHOOSE(Plan!$K$5,'Calc Smart'!AD325,'Calc Avalanche'!AD325,'Calc Snowball'!AD325,'Calc Cashflow'!AD325)</f>
        <v/>
      </c>
      <c r="E319" s="43">
        <f>CHOOSE(Plan!$K$5,COUNTIF('Calc Smart'!C325:N325,"&gt;0"),COUNTIF('Calc Avalanche'!C325:N325,"&gt;0"),COUNTIF('Calc Snowball'!C325:N325,"&gt;0"),COUNTIF('Calc Cashflow'!C325:N325,"&gt;0"))</f>
        <v/>
      </c>
      <c r="F319" s="67">
        <f>CHOOSE(Plan!$K$5,'Calc Smart'!C325,'Calc Avalanche'!C325,'Calc Snowball'!C325,'Calc Cashflow'!C325)</f>
        <v/>
      </c>
      <c r="G319" s="67">
        <f>CHOOSE(Plan!$K$5,'Calc Smart'!D325,'Calc Avalanche'!D325,'Calc Snowball'!D325,'Calc Cashflow'!D325)</f>
        <v/>
      </c>
      <c r="H319" s="67">
        <f>CHOOSE(Plan!$K$5,'Calc Smart'!E325,'Calc Avalanche'!E325,'Calc Snowball'!E325,'Calc Cashflow'!E325)</f>
        <v/>
      </c>
      <c r="I319" s="67">
        <f>CHOOSE(Plan!$K$5,'Calc Smart'!F325,'Calc Avalanche'!F325,'Calc Snowball'!F325,'Calc Cashflow'!F325)</f>
        <v/>
      </c>
      <c r="J319" s="67">
        <f>CHOOSE(Plan!$K$5,'Calc Smart'!G325,'Calc Avalanche'!G325,'Calc Snowball'!G325,'Calc Cashflow'!G325)</f>
        <v/>
      </c>
      <c r="K319" s="67">
        <f>CHOOSE(Plan!$K$5,'Calc Smart'!H325,'Calc Avalanche'!H325,'Calc Snowball'!H325,'Calc Cashflow'!H325)</f>
        <v/>
      </c>
      <c r="L319" s="67">
        <f>CHOOSE(Plan!$K$5,'Calc Smart'!I325,'Calc Avalanche'!I325,'Calc Snowball'!I325,'Calc Cashflow'!I325)</f>
        <v/>
      </c>
      <c r="M319" s="67">
        <f>CHOOSE(Plan!$K$5,'Calc Smart'!J325,'Calc Avalanche'!J325,'Calc Snowball'!J325,'Calc Cashflow'!J325)</f>
        <v/>
      </c>
      <c r="N319" s="67">
        <f>CHOOSE(Plan!$K$5,'Calc Smart'!K325,'Calc Avalanche'!K325,'Calc Snowball'!K325,'Calc Cashflow'!K325)</f>
        <v/>
      </c>
      <c r="O319" s="67">
        <f>CHOOSE(Plan!$K$5,'Calc Smart'!L325,'Calc Avalanche'!L325,'Calc Snowball'!L325,'Calc Cashflow'!L325)</f>
        <v/>
      </c>
      <c r="P319" s="67">
        <f>CHOOSE(Plan!$K$5,'Calc Smart'!M325,'Calc Avalanche'!M325,'Calc Snowball'!M325,'Calc Cashflow'!M325)</f>
        <v/>
      </c>
      <c r="Q319" s="67">
        <f>CHOOSE(Plan!$K$5,'Calc Smart'!N325,'Calc Avalanche'!N325,'Calc Snowball'!N325,'Calc Cashflow'!N325)</f>
        <v/>
      </c>
    </row>
    <row r="320">
      <c r="B320" s="64">
        <f>EDATE(Plan!$C$6,314)</f>
        <v/>
      </c>
      <c r="C320" s="31">
        <f>CHOOSE(Plan!$K$5,'Calc Smart'!AE326,'Calc Avalanche'!AE326,'Calc Snowball'!AE326,'Calc Cashflow'!AE326)</f>
        <v/>
      </c>
      <c r="D320" s="31">
        <f>CHOOSE(Plan!$K$5,'Calc Smart'!AD326,'Calc Avalanche'!AD326,'Calc Snowball'!AD326,'Calc Cashflow'!AD326)</f>
        <v/>
      </c>
      <c r="E320" s="40">
        <f>CHOOSE(Plan!$K$5,COUNTIF('Calc Smart'!C326:N326,"&gt;0"),COUNTIF('Calc Avalanche'!C326:N326,"&gt;0"),COUNTIF('Calc Snowball'!C326:N326,"&gt;0"),COUNTIF('Calc Cashflow'!C326:N326,"&gt;0"))</f>
        <v/>
      </c>
      <c r="F320" s="65">
        <f>CHOOSE(Plan!$K$5,'Calc Smart'!C326,'Calc Avalanche'!C326,'Calc Snowball'!C326,'Calc Cashflow'!C326)</f>
        <v/>
      </c>
      <c r="G320" s="65">
        <f>CHOOSE(Plan!$K$5,'Calc Smart'!D326,'Calc Avalanche'!D326,'Calc Snowball'!D326,'Calc Cashflow'!D326)</f>
        <v/>
      </c>
      <c r="H320" s="65">
        <f>CHOOSE(Plan!$K$5,'Calc Smart'!E326,'Calc Avalanche'!E326,'Calc Snowball'!E326,'Calc Cashflow'!E326)</f>
        <v/>
      </c>
      <c r="I320" s="65">
        <f>CHOOSE(Plan!$K$5,'Calc Smart'!F326,'Calc Avalanche'!F326,'Calc Snowball'!F326,'Calc Cashflow'!F326)</f>
        <v/>
      </c>
      <c r="J320" s="65">
        <f>CHOOSE(Plan!$K$5,'Calc Smart'!G326,'Calc Avalanche'!G326,'Calc Snowball'!G326,'Calc Cashflow'!G326)</f>
        <v/>
      </c>
      <c r="K320" s="65">
        <f>CHOOSE(Plan!$K$5,'Calc Smart'!H326,'Calc Avalanche'!H326,'Calc Snowball'!H326,'Calc Cashflow'!H326)</f>
        <v/>
      </c>
      <c r="L320" s="65">
        <f>CHOOSE(Plan!$K$5,'Calc Smart'!I326,'Calc Avalanche'!I326,'Calc Snowball'!I326,'Calc Cashflow'!I326)</f>
        <v/>
      </c>
      <c r="M320" s="65">
        <f>CHOOSE(Plan!$K$5,'Calc Smart'!J326,'Calc Avalanche'!J326,'Calc Snowball'!J326,'Calc Cashflow'!J326)</f>
        <v/>
      </c>
      <c r="N320" s="65">
        <f>CHOOSE(Plan!$K$5,'Calc Smart'!K326,'Calc Avalanche'!K326,'Calc Snowball'!K326,'Calc Cashflow'!K326)</f>
        <v/>
      </c>
      <c r="O320" s="65">
        <f>CHOOSE(Plan!$K$5,'Calc Smart'!L326,'Calc Avalanche'!L326,'Calc Snowball'!L326,'Calc Cashflow'!L326)</f>
        <v/>
      </c>
      <c r="P320" s="65">
        <f>CHOOSE(Plan!$K$5,'Calc Smart'!M326,'Calc Avalanche'!M326,'Calc Snowball'!M326,'Calc Cashflow'!M326)</f>
        <v/>
      </c>
      <c r="Q320" s="65">
        <f>CHOOSE(Plan!$K$5,'Calc Smart'!N326,'Calc Avalanche'!N326,'Calc Snowball'!N326,'Calc Cashflow'!N326)</f>
        <v/>
      </c>
    </row>
    <row r="321">
      <c r="B321" s="66">
        <f>EDATE(Plan!$C$6,315)</f>
        <v/>
      </c>
      <c r="C321" s="32">
        <f>CHOOSE(Plan!$K$5,'Calc Smart'!AE327,'Calc Avalanche'!AE327,'Calc Snowball'!AE327,'Calc Cashflow'!AE327)</f>
        <v/>
      </c>
      <c r="D321" s="32">
        <f>CHOOSE(Plan!$K$5,'Calc Smart'!AD327,'Calc Avalanche'!AD327,'Calc Snowball'!AD327,'Calc Cashflow'!AD327)</f>
        <v/>
      </c>
      <c r="E321" s="43">
        <f>CHOOSE(Plan!$K$5,COUNTIF('Calc Smart'!C327:N327,"&gt;0"),COUNTIF('Calc Avalanche'!C327:N327,"&gt;0"),COUNTIF('Calc Snowball'!C327:N327,"&gt;0"),COUNTIF('Calc Cashflow'!C327:N327,"&gt;0"))</f>
        <v/>
      </c>
      <c r="F321" s="67">
        <f>CHOOSE(Plan!$K$5,'Calc Smart'!C327,'Calc Avalanche'!C327,'Calc Snowball'!C327,'Calc Cashflow'!C327)</f>
        <v/>
      </c>
      <c r="G321" s="67">
        <f>CHOOSE(Plan!$K$5,'Calc Smart'!D327,'Calc Avalanche'!D327,'Calc Snowball'!D327,'Calc Cashflow'!D327)</f>
        <v/>
      </c>
      <c r="H321" s="67">
        <f>CHOOSE(Plan!$K$5,'Calc Smart'!E327,'Calc Avalanche'!E327,'Calc Snowball'!E327,'Calc Cashflow'!E327)</f>
        <v/>
      </c>
      <c r="I321" s="67">
        <f>CHOOSE(Plan!$K$5,'Calc Smart'!F327,'Calc Avalanche'!F327,'Calc Snowball'!F327,'Calc Cashflow'!F327)</f>
        <v/>
      </c>
      <c r="J321" s="67">
        <f>CHOOSE(Plan!$K$5,'Calc Smart'!G327,'Calc Avalanche'!G327,'Calc Snowball'!G327,'Calc Cashflow'!G327)</f>
        <v/>
      </c>
      <c r="K321" s="67">
        <f>CHOOSE(Plan!$K$5,'Calc Smart'!H327,'Calc Avalanche'!H327,'Calc Snowball'!H327,'Calc Cashflow'!H327)</f>
        <v/>
      </c>
      <c r="L321" s="67">
        <f>CHOOSE(Plan!$K$5,'Calc Smart'!I327,'Calc Avalanche'!I327,'Calc Snowball'!I327,'Calc Cashflow'!I327)</f>
        <v/>
      </c>
      <c r="M321" s="67">
        <f>CHOOSE(Plan!$K$5,'Calc Smart'!J327,'Calc Avalanche'!J327,'Calc Snowball'!J327,'Calc Cashflow'!J327)</f>
        <v/>
      </c>
      <c r="N321" s="67">
        <f>CHOOSE(Plan!$K$5,'Calc Smart'!K327,'Calc Avalanche'!K327,'Calc Snowball'!K327,'Calc Cashflow'!K327)</f>
        <v/>
      </c>
      <c r="O321" s="67">
        <f>CHOOSE(Plan!$K$5,'Calc Smart'!L327,'Calc Avalanche'!L327,'Calc Snowball'!L327,'Calc Cashflow'!L327)</f>
        <v/>
      </c>
      <c r="P321" s="67">
        <f>CHOOSE(Plan!$K$5,'Calc Smart'!M327,'Calc Avalanche'!M327,'Calc Snowball'!M327,'Calc Cashflow'!M327)</f>
        <v/>
      </c>
      <c r="Q321" s="67">
        <f>CHOOSE(Plan!$K$5,'Calc Smart'!N327,'Calc Avalanche'!N327,'Calc Snowball'!N327,'Calc Cashflow'!N327)</f>
        <v/>
      </c>
    </row>
    <row r="322">
      <c r="B322" s="64">
        <f>EDATE(Plan!$C$6,316)</f>
        <v/>
      </c>
      <c r="C322" s="31">
        <f>CHOOSE(Plan!$K$5,'Calc Smart'!AE328,'Calc Avalanche'!AE328,'Calc Snowball'!AE328,'Calc Cashflow'!AE328)</f>
        <v/>
      </c>
      <c r="D322" s="31">
        <f>CHOOSE(Plan!$K$5,'Calc Smart'!AD328,'Calc Avalanche'!AD328,'Calc Snowball'!AD328,'Calc Cashflow'!AD328)</f>
        <v/>
      </c>
      <c r="E322" s="40">
        <f>CHOOSE(Plan!$K$5,COUNTIF('Calc Smart'!C328:N328,"&gt;0"),COUNTIF('Calc Avalanche'!C328:N328,"&gt;0"),COUNTIF('Calc Snowball'!C328:N328,"&gt;0"),COUNTIF('Calc Cashflow'!C328:N328,"&gt;0"))</f>
        <v/>
      </c>
      <c r="F322" s="65">
        <f>CHOOSE(Plan!$K$5,'Calc Smart'!C328,'Calc Avalanche'!C328,'Calc Snowball'!C328,'Calc Cashflow'!C328)</f>
        <v/>
      </c>
      <c r="G322" s="65">
        <f>CHOOSE(Plan!$K$5,'Calc Smart'!D328,'Calc Avalanche'!D328,'Calc Snowball'!D328,'Calc Cashflow'!D328)</f>
        <v/>
      </c>
      <c r="H322" s="65">
        <f>CHOOSE(Plan!$K$5,'Calc Smart'!E328,'Calc Avalanche'!E328,'Calc Snowball'!E328,'Calc Cashflow'!E328)</f>
        <v/>
      </c>
      <c r="I322" s="65">
        <f>CHOOSE(Plan!$K$5,'Calc Smart'!F328,'Calc Avalanche'!F328,'Calc Snowball'!F328,'Calc Cashflow'!F328)</f>
        <v/>
      </c>
      <c r="J322" s="65">
        <f>CHOOSE(Plan!$K$5,'Calc Smart'!G328,'Calc Avalanche'!G328,'Calc Snowball'!G328,'Calc Cashflow'!G328)</f>
        <v/>
      </c>
      <c r="K322" s="65">
        <f>CHOOSE(Plan!$K$5,'Calc Smart'!H328,'Calc Avalanche'!H328,'Calc Snowball'!H328,'Calc Cashflow'!H328)</f>
        <v/>
      </c>
      <c r="L322" s="65">
        <f>CHOOSE(Plan!$K$5,'Calc Smart'!I328,'Calc Avalanche'!I328,'Calc Snowball'!I328,'Calc Cashflow'!I328)</f>
        <v/>
      </c>
      <c r="M322" s="65">
        <f>CHOOSE(Plan!$K$5,'Calc Smart'!J328,'Calc Avalanche'!J328,'Calc Snowball'!J328,'Calc Cashflow'!J328)</f>
        <v/>
      </c>
      <c r="N322" s="65">
        <f>CHOOSE(Plan!$K$5,'Calc Smart'!K328,'Calc Avalanche'!K328,'Calc Snowball'!K328,'Calc Cashflow'!K328)</f>
        <v/>
      </c>
      <c r="O322" s="65">
        <f>CHOOSE(Plan!$K$5,'Calc Smart'!L328,'Calc Avalanche'!L328,'Calc Snowball'!L328,'Calc Cashflow'!L328)</f>
        <v/>
      </c>
      <c r="P322" s="65">
        <f>CHOOSE(Plan!$K$5,'Calc Smart'!M328,'Calc Avalanche'!M328,'Calc Snowball'!M328,'Calc Cashflow'!M328)</f>
        <v/>
      </c>
      <c r="Q322" s="65">
        <f>CHOOSE(Plan!$K$5,'Calc Smart'!N328,'Calc Avalanche'!N328,'Calc Snowball'!N328,'Calc Cashflow'!N328)</f>
        <v/>
      </c>
    </row>
    <row r="323">
      <c r="B323" s="66">
        <f>EDATE(Plan!$C$6,317)</f>
        <v/>
      </c>
      <c r="C323" s="32">
        <f>CHOOSE(Plan!$K$5,'Calc Smart'!AE329,'Calc Avalanche'!AE329,'Calc Snowball'!AE329,'Calc Cashflow'!AE329)</f>
        <v/>
      </c>
      <c r="D323" s="32">
        <f>CHOOSE(Plan!$K$5,'Calc Smart'!AD329,'Calc Avalanche'!AD329,'Calc Snowball'!AD329,'Calc Cashflow'!AD329)</f>
        <v/>
      </c>
      <c r="E323" s="43">
        <f>CHOOSE(Plan!$K$5,COUNTIF('Calc Smart'!C329:N329,"&gt;0"),COUNTIF('Calc Avalanche'!C329:N329,"&gt;0"),COUNTIF('Calc Snowball'!C329:N329,"&gt;0"),COUNTIF('Calc Cashflow'!C329:N329,"&gt;0"))</f>
        <v/>
      </c>
      <c r="F323" s="67">
        <f>CHOOSE(Plan!$K$5,'Calc Smart'!C329,'Calc Avalanche'!C329,'Calc Snowball'!C329,'Calc Cashflow'!C329)</f>
        <v/>
      </c>
      <c r="G323" s="67">
        <f>CHOOSE(Plan!$K$5,'Calc Smart'!D329,'Calc Avalanche'!D329,'Calc Snowball'!D329,'Calc Cashflow'!D329)</f>
        <v/>
      </c>
      <c r="H323" s="67">
        <f>CHOOSE(Plan!$K$5,'Calc Smart'!E329,'Calc Avalanche'!E329,'Calc Snowball'!E329,'Calc Cashflow'!E329)</f>
        <v/>
      </c>
      <c r="I323" s="67">
        <f>CHOOSE(Plan!$K$5,'Calc Smart'!F329,'Calc Avalanche'!F329,'Calc Snowball'!F329,'Calc Cashflow'!F329)</f>
        <v/>
      </c>
      <c r="J323" s="67">
        <f>CHOOSE(Plan!$K$5,'Calc Smart'!G329,'Calc Avalanche'!G329,'Calc Snowball'!G329,'Calc Cashflow'!G329)</f>
        <v/>
      </c>
      <c r="K323" s="67">
        <f>CHOOSE(Plan!$K$5,'Calc Smart'!H329,'Calc Avalanche'!H329,'Calc Snowball'!H329,'Calc Cashflow'!H329)</f>
        <v/>
      </c>
      <c r="L323" s="67">
        <f>CHOOSE(Plan!$K$5,'Calc Smart'!I329,'Calc Avalanche'!I329,'Calc Snowball'!I329,'Calc Cashflow'!I329)</f>
        <v/>
      </c>
      <c r="M323" s="67">
        <f>CHOOSE(Plan!$K$5,'Calc Smart'!J329,'Calc Avalanche'!J329,'Calc Snowball'!J329,'Calc Cashflow'!J329)</f>
        <v/>
      </c>
      <c r="N323" s="67">
        <f>CHOOSE(Plan!$K$5,'Calc Smart'!K329,'Calc Avalanche'!K329,'Calc Snowball'!K329,'Calc Cashflow'!K329)</f>
        <v/>
      </c>
      <c r="O323" s="67">
        <f>CHOOSE(Plan!$K$5,'Calc Smart'!L329,'Calc Avalanche'!L329,'Calc Snowball'!L329,'Calc Cashflow'!L329)</f>
        <v/>
      </c>
      <c r="P323" s="67">
        <f>CHOOSE(Plan!$K$5,'Calc Smart'!M329,'Calc Avalanche'!M329,'Calc Snowball'!M329,'Calc Cashflow'!M329)</f>
        <v/>
      </c>
      <c r="Q323" s="67">
        <f>CHOOSE(Plan!$K$5,'Calc Smart'!N329,'Calc Avalanche'!N329,'Calc Snowball'!N329,'Calc Cashflow'!N329)</f>
        <v/>
      </c>
    </row>
    <row r="324">
      <c r="B324" s="64">
        <f>EDATE(Plan!$C$6,318)</f>
        <v/>
      </c>
      <c r="C324" s="31">
        <f>CHOOSE(Plan!$K$5,'Calc Smart'!AE330,'Calc Avalanche'!AE330,'Calc Snowball'!AE330,'Calc Cashflow'!AE330)</f>
        <v/>
      </c>
      <c r="D324" s="31">
        <f>CHOOSE(Plan!$K$5,'Calc Smart'!AD330,'Calc Avalanche'!AD330,'Calc Snowball'!AD330,'Calc Cashflow'!AD330)</f>
        <v/>
      </c>
      <c r="E324" s="40">
        <f>CHOOSE(Plan!$K$5,COUNTIF('Calc Smart'!C330:N330,"&gt;0"),COUNTIF('Calc Avalanche'!C330:N330,"&gt;0"),COUNTIF('Calc Snowball'!C330:N330,"&gt;0"),COUNTIF('Calc Cashflow'!C330:N330,"&gt;0"))</f>
        <v/>
      </c>
      <c r="F324" s="65">
        <f>CHOOSE(Plan!$K$5,'Calc Smart'!C330,'Calc Avalanche'!C330,'Calc Snowball'!C330,'Calc Cashflow'!C330)</f>
        <v/>
      </c>
      <c r="G324" s="65">
        <f>CHOOSE(Plan!$K$5,'Calc Smart'!D330,'Calc Avalanche'!D330,'Calc Snowball'!D330,'Calc Cashflow'!D330)</f>
        <v/>
      </c>
      <c r="H324" s="65">
        <f>CHOOSE(Plan!$K$5,'Calc Smart'!E330,'Calc Avalanche'!E330,'Calc Snowball'!E330,'Calc Cashflow'!E330)</f>
        <v/>
      </c>
      <c r="I324" s="65">
        <f>CHOOSE(Plan!$K$5,'Calc Smart'!F330,'Calc Avalanche'!F330,'Calc Snowball'!F330,'Calc Cashflow'!F330)</f>
        <v/>
      </c>
      <c r="J324" s="65">
        <f>CHOOSE(Plan!$K$5,'Calc Smart'!G330,'Calc Avalanche'!G330,'Calc Snowball'!G330,'Calc Cashflow'!G330)</f>
        <v/>
      </c>
      <c r="K324" s="65">
        <f>CHOOSE(Plan!$K$5,'Calc Smart'!H330,'Calc Avalanche'!H330,'Calc Snowball'!H330,'Calc Cashflow'!H330)</f>
        <v/>
      </c>
      <c r="L324" s="65">
        <f>CHOOSE(Plan!$K$5,'Calc Smart'!I330,'Calc Avalanche'!I330,'Calc Snowball'!I330,'Calc Cashflow'!I330)</f>
        <v/>
      </c>
      <c r="M324" s="65">
        <f>CHOOSE(Plan!$K$5,'Calc Smart'!J330,'Calc Avalanche'!J330,'Calc Snowball'!J330,'Calc Cashflow'!J330)</f>
        <v/>
      </c>
      <c r="N324" s="65">
        <f>CHOOSE(Plan!$K$5,'Calc Smart'!K330,'Calc Avalanche'!K330,'Calc Snowball'!K330,'Calc Cashflow'!K330)</f>
        <v/>
      </c>
      <c r="O324" s="65">
        <f>CHOOSE(Plan!$K$5,'Calc Smart'!L330,'Calc Avalanche'!L330,'Calc Snowball'!L330,'Calc Cashflow'!L330)</f>
        <v/>
      </c>
      <c r="P324" s="65">
        <f>CHOOSE(Plan!$K$5,'Calc Smart'!M330,'Calc Avalanche'!M330,'Calc Snowball'!M330,'Calc Cashflow'!M330)</f>
        <v/>
      </c>
      <c r="Q324" s="65">
        <f>CHOOSE(Plan!$K$5,'Calc Smart'!N330,'Calc Avalanche'!N330,'Calc Snowball'!N330,'Calc Cashflow'!N330)</f>
        <v/>
      </c>
    </row>
    <row r="325">
      <c r="B325" s="66">
        <f>EDATE(Plan!$C$6,319)</f>
        <v/>
      </c>
      <c r="C325" s="32">
        <f>CHOOSE(Plan!$K$5,'Calc Smart'!AE331,'Calc Avalanche'!AE331,'Calc Snowball'!AE331,'Calc Cashflow'!AE331)</f>
        <v/>
      </c>
      <c r="D325" s="32">
        <f>CHOOSE(Plan!$K$5,'Calc Smart'!AD331,'Calc Avalanche'!AD331,'Calc Snowball'!AD331,'Calc Cashflow'!AD331)</f>
        <v/>
      </c>
      <c r="E325" s="43">
        <f>CHOOSE(Plan!$K$5,COUNTIF('Calc Smart'!C331:N331,"&gt;0"),COUNTIF('Calc Avalanche'!C331:N331,"&gt;0"),COUNTIF('Calc Snowball'!C331:N331,"&gt;0"),COUNTIF('Calc Cashflow'!C331:N331,"&gt;0"))</f>
        <v/>
      </c>
      <c r="F325" s="67">
        <f>CHOOSE(Plan!$K$5,'Calc Smart'!C331,'Calc Avalanche'!C331,'Calc Snowball'!C331,'Calc Cashflow'!C331)</f>
        <v/>
      </c>
      <c r="G325" s="67">
        <f>CHOOSE(Plan!$K$5,'Calc Smart'!D331,'Calc Avalanche'!D331,'Calc Snowball'!D331,'Calc Cashflow'!D331)</f>
        <v/>
      </c>
      <c r="H325" s="67">
        <f>CHOOSE(Plan!$K$5,'Calc Smart'!E331,'Calc Avalanche'!E331,'Calc Snowball'!E331,'Calc Cashflow'!E331)</f>
        <v/>
      </c>
      <c r="I325" s="67">
        <f>CHOOSE(Plan!$K$5,'Calc Smart'!F331,'Calc Avalanche'!F331,'Calc Snowball'!F331,'Calc Cashflow'!F331)</f>
        <v/>
      </c>
      <c r="J325" s="67">
        <f>CHOOSE(Plan!$K$5,'Calc Smart'!G331,'Calc Avalanche'!G331,'Calc Snowball'!G331,'Calc Cashflow'!G331)</f>
        <v/>
      </c>
      <c r="K325" s="67">
        <f>CHOOSE(Plan!$K$5,'Calc Smart'!H331,'Calc Avalanche'!H331,'Calc Snowball'!H331,'Calc Cashflow'!H331)</f>
        <v/>
      </c>
      <c r="L325" s="67">
        <f>CHOOSE(Plan!$K$5,'Calc Smart'!I331,'Calc Avalanche'!I331,'Calc Snowball'!I331,'Calc Cashflow'!I331)</f>
        <v/>
      </c>
      <c r="M325" s="67">
        <f>CHOOSE(Plan!$K$5,'Calc Smart'!J331,'Calc Avalanche'!J331,'Calc Snowball'!J331,'Calc Cashflow'!J331)</f>
        <v/>
      </c>
      <c r="N325" s="67">
        <f>CHOOSE(Plan!$K$5,'Calc Smart'!K331,'Calc Avalanche'!K331,'Calc Snowball'!K331,'Calc Cashflow'!K331)</f>
        <v/>
      </c>
      <c r="O325" s="67">
        <f>CHOOSE(Plan!$K$5,'Calc Smart'!L331,'Calc Avalanche'!L331,'Calc Snowball'!L331,'Calc Cashflow'!L331)</f>
        <v/>
      </c>
      <c r="P325" s="67">
        <f>CHOOSE(Plan!$K$5,'Calc Smart'!M331,'Calc Avalanche'!M331,'Calc Snowball'!M331,'Calc Cashflow'!M331)</f>
        <v/>
      </c>
      <c r="Q325" s="67">
        <f>CHOOSE(Plan!$K$5,'Calc Smart'!N331,'Calc Avalanche'!N331,'Calc Snowball'!N331,'Calc Cashflow'!N331)</f>
        <v/>
      </c>
    </row>
    <row r="326">
      <c r="B326" s="64">
        <f>EDATE(Plan!$C$6,320)</f>
        <v/>
      </c>
      <c r="C326" s="31">
        <f>CHOOSE(Plan!$K$5,'Calc Smart'!AE332,'Calc Avalanche'!AE332,'Calc Snowball'!AE332,'Calc Cashflow'!AE332)</f>
        <v/>
      </c>
      <c r="D326" s="31">
        <f>CHOOSE(Plan!$K$5,'Calc Smart'!AD332,'Calc Avalanche'!AD332,'Calc Snowball'!AD332,'Calc Cashflow'!AD332)</f>
        <v/>
      </c>
      <c r="E326" s="40">
        <f>CHOOSE(Plan!$K$5,COUNTIF('Calc Smart'!C332:N332,"&gt;0"),COUNTIF('Calc Avalanche'!C332:N332,"&gt;0"),COUNTIF('Calc Snowball'!C332:N332,"&gt;0"),COUNTIF('Calc Cashflow'!C332:N332,"&gt;0"))</f>
        <v/>
      </c>
      <c r="F326" s="65">
        <f>CHOOSE(Plan!$K$5,'Calc Smart'!C332,'Calc Avalanche'!C332,'Calc Snowball'!C332,'Calc Cashflow'!C332)</f>
        <v/>
      </c>
      <c r="G326" s="65">
        <f>CHOOSE(Plan!$K$5,'Calc Smart'!D332,'Calc Avalanche'!D332,'Calc Snowball'!D332,'Calc Cashflow'!D332)</f>
        <v/>
      </c>
      <c r="H326" s="65">
        <f>CHOOSE(Plan!$K$5,'Calc Smart'!E332,'Calc Avalanche'!E332,'Calc Snowball'!E332,'Calc Cashflow'!E332)</f>
        <v/>
      </c>
      <c r="I326" s="65">
        <f>CHOOSE(Plan!$K$5,'Calc Smart'!F332,'Calc Avalanche'!F332,'Calc Snowball'!F332,'Calc Cashflow'!F332)</f>
        <v/>
      </c>
      <c r="J326" s="65">
        <f>CHOOSE(Plan!$K$5,'Calc Smart'!G332,'Calc Avalanche'!G332,'Calc Snowball'!G332,'Calc Cashflow'!G332)</f>
        <v/>
      </c>
      <c r="K326" s="65">
        <f>CHOOSE(Plan!$K$5,'Calc Smart'!H332,'Calc Avalanche'!H332,'Calc Snowball'!H332,'Calc Cashflow'!H332)</f>
        <v/>
      </c>
      <c r="L326" s="65">
        <f>CHOOSE(Plan!$K$5,'Calc Smart'!I332,'Calc Avalanche'!I332,'Calc Snowball'!I332,'Calc Cashflow'!I332)</f>
        <v/>
      </c>
      <c r="M326" s="65">
        <f>CHOOSE(Plan!$K$5,'Calc Smart'!J332,'Calc Avalanche'!J332,'Calc Snowball'!J332,'Calc Cashflow'!J332)</f>
        <v/>
      </c>
      <c r="N326" s="65">
        <f>CHOOSE(Plan!$K$5,'Calc Smart'!K332,'Calc Avalanche'!K332,'Calc Snowball'!K332,'Calc Cashflow'!K332)</f>
        <v/>
      </c>
      <c r="O326" s="65">
        <f>CHOOSE(Plan!$K$5,'Calc Smart'!L332,'Calc Avalanche'!L332,'Calc Snowball'!L332,'Calc Cashflow'!L332)</f>
        <v/>
      </c>
      <c r="P326" s="65">
        <f>CHOOSE(Plan!$K$5,'Calc Smart'!M332,'Calc Avalanche'!M332,'Calc Snowball'!M332,'Calc Cashflow'!M332)</f>
        <v/>
      </c>
      <c r="Q326" s="65">
        <f>CHOOSE(Plan!$K$5,'Calc Smart'!N332,'Calc Avalanche'!N332,'Calc Snowball'!N332,'Calc Cashflow'!N332)</f>
        <v/>
      </c>
    </row>
    <row r="327">
      <c r="B327" s="66">
        <f>EDATE(Plan!$C$6,321)</f>
        <v/>
      </c>
      <c r="C327" s="32">
        <f>CHOOSE(Plan!$K$5,'Calc Smart'!AE333,'Calc Avalanche'!AE333,'Calc Snowball'!AE333,'Calc Cashflow'!AE333)</f>
        <v/>
      </c>
      <c r="D327" s="32">
        <f>CHOOSE(Plan!$K$5,'Calc Smart'!AD333,'Calc Avalanche'!AD333,'Calc Snowball'!AD333,'Calc Cashflow'!AD333)</f>
        <v/>
      </c>
      <c r="E327" s="43">
        <f>CHOOSE(Plan!$K$5,COUNTIF('Calc Smart'!C333:N333,"&gt;0"),COUNTIF('Calc Avalanche'!C333:N333,"&gt;0"),COUNTIF('Calc Snowball'!C333:N333,"&gt;0"),COUNTIF('Calc Cashflow'!C333:N333,"&gt;0"))</f>
        <v/>
      </c>
      <c r="F327" s="67">
        <f>CHOOSE(Plan!$K$5,'Calc Smart'!C333,'Calc Avalanche'!C333,'Calc Snowball'!C333,'Calc Cashflow'!C333)</f>
        <v/>
      </c>
      <c r="G327" s="67">
        <f>CHOOSE(Plan!$K$5,'Calc Smart'!D333,'Calc Avalanche'!D333,'Calc Snowball'!D333,'Calc Cashflow'!D333)</f>
        <v/>
      </c>
      <c r="H327" s="67">
        <f>CHOOSE(Plan!$K$5,'Calc Smart'!E333,'Calc Avalanche'!E333,'Calc Snowball'!E333,'Calc Cashflow'!E333)</f>
        <v/>
      </c>
      <c r="I327" s="67">
        <f>CHOOSE(Plan!$K$5,'Calc Smart'!F333,'Calc Avalanche'!F333,'Calc Snowball'!F333,'Calc Cashflow'!F333)</f>
        <v/>
      </c>
      <c r="J327" s="67">
        <f>CHOOSE(Plan!$K$5,'Calc Smart'!G333,'Calc Avalanche'!G333,'Calc Snowball'!G333,'Calc Cashflow'!G333)</f>
        <v/>
      </c>
      <c r="K327" s="67">
        <f>CHOOSE(Plan!$K$5,'Calc Smart'!H333,'Calc Avalanche'!H333,'Calc Snowball'!H333,'Calc Cashflow'!H333)</f>
        <v/>
      </c>
      <c r="L327" s="67">
        <f>CHOOSE(Plan!$K$5,'Calc Smart'!I333,'Calc Avalanche'!I333,'Calc Snowball'!I333,'Calc Cashflow'!I333)</f>
        <v/>
      </c>
      <c r="M327" s="67">
        <f>CHOOSE(Plan!$K$5,'Calc Smart'!J333,'Calc Avalanche'!J333,'Calc Snowball'!J333,'Calc Cashflow'!J333)</f>
        <v/>
      </c>
      <c r="N327" s="67">
        <f>CHOOSE(Plan!$K$5,'Calc Smart'!K333,'Calc Avalanche'!K333,'Calc Snowball'!K333,'Calc Cashflow'!K333)</f>
        <v/>
      </c>
      <c r="O327" s="67">
        <f>CHOOSE(Plan!$K$5,'Calc Smart'!L333,'Calc Avalanche'!L333,'Calc Snowball'!L333,'Calc Cashflow'!L333)</f>
        <v/>
      </c>
      <c r="P327" s="67">
        <f>CHOOSE(Plan!$K$5,'Calc Smart'!M333,'Calc Avalanche'!M333,'Calc Snowball'!M333,'Calc Cashflow'!M333)</f>
        <v/>
      </c>
      <c r="Q327" s="67">
        <f>CHOOSE(Plan!$K$5,'Calc Smart'!N333,'Calc Avalanche'!N333,'Calc Snowball'!N333,'Calc Cashflow'!N333)</f>
        <v/>
      </c>
    </row>
    <row r="328">
      <c r="B328" s="64">
        <f>EDATE(Plan!$C$6,322)</f>
        <v/>
      </c>
      <c r="C328" s="31">
        <f>CHOOSE(Plan!$K$5,'Calc Smart'!AE334,'Calc Avalanche'!AE334,'Calc Snowball'!AE334,'Calc Cashflow'!AE334)</f>
        <v/>
      </c>
      <c r="D328" s="31">
        <f>CHOOSE(Plan!$K$5,'Calc Smart'!AD334,'Calc Avalanche'!AD334,'Calc Snowball'!AD334,'Calc Cashflow'!AD334)</f>
        <v/>
      </c>
      <c r="E328" s="40">
        <f>CHOOSE(Plan!$K$5,COUNTIF('Calc Smart'!C334:N334,"&gt;0"),COUNTIF('Calc Avalanche'!C334:N334,"&gt;0"),COUNTIF('Calc Snowball'!C334:N334,"&gt;0"),COUNTIF('Calc Cashflow'!C334:N334,"&gt;0"))</f>
        <v/>
      </c>
      <c r="F328" s="65">
        <f>CHOOSE(Plan!$K$5,'Calc Smart'!C334,'Calc Avalanche'!C334,'Calc Snowball'!C334,'Calc Cashflow'!C334)</f>
        <v/>
      </c>
      <c r="G328" s="65">
        <f>CHOOSE(Plan!$K$5,'Calc Smart'!D334,'Calc Avalanche'!D334,'Calc Snowball'!D334,'Calc Cashflow'!D334)</f>
        <v/>
      </c>
      <c r="H328" s="65">
        <f>CHOOSE(Plan!$K$5,'Calc Smart'!E334,'Calc Avalanche'!E334,'Calc Snowball'!E334,'Calc Cashflow'!E334)</f>
        <v/>
      </c>
      <c r="I328" s="65">
        <f>CHOOSE(Plan!$K$5,'Calc Smart'!F334,'Calc Avalanche'!F334,'Calc Snowball'!F334,'Calc Cashflow'!F334)</f>
        <v/>
      </c>
      <c r="J328" s="65">
        <f>CHOOSE(Plan!$K$5,'Calc Smart'!G334,'Calc Avalanche'!G334,'Calc Snowball'!G334,'Calc Cashflow'!G334)</f>
        <v/>
      </c>
      <c r="K328" s="65">
        <f>CHOOSE(Plan!$K$5,'Calc Smart'!H334,'Calc Avalanche'!H334,'Calc Snowball'!H334,'Calc Cashflow'!H334)</f>
        <v/>
      </c>
      <c r="L328" s="65">
        <f>CHOOSE(Plan!$K$5,'Calc Smart'!I334,'Calc Avalanche'!I334,'Calc Snowball'!I334,'Calc Cashflow'!I334)</f>
        <v/>
      </c>
      <c r="M328" s="65">
        <f>CHOOSE(Plan!$K$5,'Calc Smart'!J334,'Calc Avalanche'!J334,'Calc Snowball'!J334,'Calc Cashflow'!J334)</f>
        <v/>
      </c>
      <c r="N328" s="65">
        <f>CHOOSE(Plan!$K$5,'Calc Smart'!K334,'Calc Avalanche'!K334,'Calc Snowball'!K334,'Calc Cashflow'!K334)</f>
        <v/>
      </c>
      <c r="O328" s="65">
        <f>CHOOSE(Plan!$K$5,'Calc Smart'!L334,'Calc Avalanche'!L334,'Calc Snowball'!L334,'Calc Cashflow'!L334)</f>
        <v/>
      </c>
      <c r="P328" s="65">
        <f>CHOOSE(Plan!$K$5,'Calc Smart'!M334,'Calc Avalanche'!M334,'Calc Snowball'!M334,'Calc Cashflow'!M334)</f>
        <v/>
      </c>
      <c r="Q328" s="65">
        <f>CHOOSE(Plan!$K$5,'Calc Smart'!N334,'Calc Avalanche'!N334,'Calc Snowball'!N334,'Calc Cashflow'!N334)</f>
        <v/>
      </c>
    </row>
    <row r="329">
      <c r="B329" s="66">
        <f>EDATE(Plan!$C$6,323)</f>
        <v/>
      </c>
      <c r="C329" s="32">
        <f>CHOOSE(Plan!$K$5,'Calc Smart'!AE335,'Calc Avalanche'!AE335,'Calc Snowball'!AE335,'Calc Cashflow'!AE335)</f>
        <v/>
      </c>
      <c r="D329" s="32">
        <f>CHOOSE(Plan!$K$5,'Calc Smart'!AD335,'Calc Avalanche'!AD335,'Calc Snowball'!AD335,'Calc Cashflow'!AD335)</f>
        <v/>
      </c>
      <c r="E329" s="43">
        <f>CHOOSE(Plan!$K$5,COUNTIF('Calc Smart'!C335:N335,"&gt;0"),COUNTIF('Calc Avalanche'!C335:N335,"&gt;0"),COUNTIF('Calc Snowball'!C335:N335,"&gt;0"),COUNTIF('Calc Cashflow'!C335:N335,"&gt;0"))</f>
        <v/>
      </c>
      <c r="F329" s="67">
        <f>CHOOSE(Plan!$K$5,'Calc Smart'!C335,'Calc Avalanche'!C335,'Calc Snowball'!C335,'Calc Cashflow'!C335)</f>
        <v/>
      </c>
      <c r="G329" s="67">
        <f>CHOOSE(Plan!$K$5,'Calc Smart'!D335,'Calc Avalanche'!D335,'Calc Snowball'!D335,'Calc Cashflow'!D335)</f>
        <v/>
      </c>
      <c r="H329" s="67">
        <f>CHOOSE(Plan!$K$5,'Calc Smart'!E335,'Calc Avalanche'!E335,'Calc Snowball'!E335,'Calc Cashflow'!E335)</f>
        <v/>
      </c>
      <c r="I329" s="67">
        <f>CHOOSE(Plan!$K$5,'Calc Smart'!F335,'Calc Avalanche'!F335,'Calc Snowball'!F335,'Calc Cashflow'!F335)</f>
        <v/>
      </c>
      <c r="J329" s="67">
        <f>CHOOSE(Plan!$K$5,'Calc Smart'!G335,'Calc Avalanche'!G335,'Calc Snowball'!G335,'Calc Cashflow'!G335)</f>
        <v/>
      </c>
      <c r="K329" s="67">
        <f>CHOOSE(Plan!$K$5,'Calc Smart'!H335,'Calc Avalanche'!H335,'Calc Snowball'!H335,'Calc Cashflow'!H335)</f>
        <v/>
      </c>
      <c r="L329" s="67">
        <f>CHOOSE(Plan!$K$5,'Calc Smart'!I335,'Calc Avalanche'!I335,'Calc Snowball'!I335,'Calc Cashflow'!I335)</f>
        <v/>
      </c>
      <c r="M329" s="67">
        <f>CHOOSE(Plan!$K$5,'Calc Smart'!J335,'Calc Avalanche'!J335,'Calc Snowball'!J335,'Calc Cashflow'!J335)</f>
        <v/>
      </c>
      <c r="N329" s="67">
        <f>CHOOSE(Plan!$K$5,'Calc Smart'!K335,'Calc Avalanche'!K335,'Calc Snowball'!K335,'Calc Cashflow'!K335)</f>
        <v/>
      </c>
      <c r="O329" s="67">
        <f>CHOOSE(Plan!$K$5,'Calc Smart'!L335,'Calc Avalanche'!L335,'Calc Snowball'!L335,'Calc Cashflow'!L335)</f>
        <v/>
      </c>
      <c r="P329" s="67">
        <f>CHOOSE(Plan!$K$5,'Calc Smart'!M335,'Calc Avalanche'!M335,'Calc Snowball'!M335,'Calc Cashflow'!M335)</f>
        <v/>
      </c>
      <c r="Q329" s="67">
        <f>CHOOSE(Plan!$K$5,'Calc Smart'!N335,'Calc Avalanche'!N335,'Calc Snowball'!N335,'Calc Cashflow'!N335)</f>
        <v/>
      </c>
    </row>
    <row r="330">
      <c r="B330" s="64">
        <f>EDATE(Plan!$C$6,324)</f>
        <v/>
      </c>
      <c r="C330" s="31">
        <f>CHOOSE(Plan!$K$5,'Calc Smart'!AE336,'Calc Avalanche'!AE336,'Calc Snowball'!AE336,'Calc Cashflow'!AE336)</f>
        <v/>
      </c>
      <c r="D330" s="31">
        <f>CHOOSE(Plan!$K$5,'Calc Smart'!AD336,'Calc Avalanche'!AD336,'Calc Snowball'!AD336,'Calc Cashflow'!AD336)</f>
        <v/>
      </c>
      <c r="E330" s="40">
        <f>CHOOSE(Plan!$K$5,COUNTIF('Calc Smart'!C336:N336,"&gt;0"),COUNTIF('Calc Avalanche'!C336:N336,"&gt;0"),COUNTIF('Calc Snowball'!C336:N336,"&gt;0"),COUNTIF('Calc Cashflow'!C336:N336,"&gt;0"))</f>
        <v/>
      </c>
      <c r="F330" s="65">
        <f>CHOOSE(Plan!$K$5,'Calc Smart'!C336,'Calc Avalanche'!C336,'Calc Snowball'!C336,'Calc Cashflow'!C336)</f>
        <v/>
      </c>
      <c r="G330" s="65">
        <f>CHOOSE(Plan!$K$5,'Calc Smart'!D336,'Calc Avalanche'!D336,'Calc Snowball'!D336,'Calc Cashflow'!D336)</f>
        <v/>
      </c>
      <c r="H330" s="65">
        <f>CHOOSE(Plan!$K$5,'Calc Smart'!E336,'Calc Avalanche'!E336,'Calc Snowball'!E336,'Calc Cashflow'!E336)</f>
        <v/>
      </c>
      <c r="I330" s="65">
        <f>CHOOSE(Plan!$K$5,'Calc Smart'!F336,'Calc Avalanche'!F336,'Calc Snowball'!F336,'Calc Cashflow'!F336)</f>
        <v/>
      </c>
      <c r="J330" s="65">
        <f>CHOOSE(Plan!$K$5,'Calc Smart'!G336,'Calc Avalanche'!G336,'Calc Snowball'!G336,'Calc Cashflow'!G336)</f>
        <v/>
      </c>
      <c r="K330" s="65">
        <f>CHOOSE(Plan!$K$5,'Calc Smart'!H336,'Calc Avalanche'!H336,'Calc Snowball'!H336,'Calc Cashflow'!H336)</f>
        <v/>
      </c>
      <c r="L330" s="65">
        <f>CHOOSE(Plan!$K$5,'Calc Smart'!I336,'Calc Avalanche'!I336,'Calc Snowball'!I336,'Calc Cashflow'!I336)</f>
        <v/>
      </c>
      <c r="M330" s="65">
        <f>CHOOSE(Plan!$K$5,'Calc Smart'!J336,'Calc Avalanche'!J336,'Calc Snowball'!J336,'Calc Cashflow'!J336)</f>
        <v/>
      </c>
      <c r="N330" s="65">
        <f>CHOOSE(Plan!$K$5,'Calc Smart'!K336,'Calc Avalanche'!K336,'Calc Snowball'!K336,'Calc Cashflow'!K336)</f>
        <v/>
      </c>
      <c r="O330" s="65">
        <f>CHOOSE(Plan!$K$5,'Calc Smart'!L336,'Calc Avalanche'!L336,'Calc Snowball'!L336,'Calc Cashflow'!L336)</f>
        <v/>
      </c>
      <c r="P330" s="65">
        <f>CHOOSE(Plan!$K$5,'Calc Smart'!M336,'Calc Avalanche'!M336,'Calc Snowball'!M336,'Calc Cashflow'!M336)</f>
        <v/>
      </c>
      <c r="Q330" s="65">
        <f>CHOOSE(Plan!$K$5,'Calc Smart'!N336,'Calc Avalanche'!N336,'Calc Snowball'!N336,'Calc Cashflow'!N336)</f>
        <v/>
      </c>
    </row>
    <row r="331">
      <c r="B331" s="66">
        <f>EDATE(Plan!$C$6,325)</f>
        <v/>
      </c>
      <c r="C331" s="32">
        <f>CHOOSE(Plan!$K$5,'Calc Smart'!AE337,'Calc Avalanche'!AE337,'Calc Snowball'!AE337,'Calc Cashflow'!AE337)</f>
        <v/>
      </c>
      <c r="D331" s="32">
        <f>CHOOSE(Plan!$K$5,'Calc Smart'!AD337,'Calc Avalanche'!AD337,'Calc Snowball'!AD337,'Calc Cashflow'!AD337)</f>
        <v/>
      </c>
      <c r="E331" s="43">
        <f>CHOOSE(Plan!$K$5,COUNTIF('Calc Smart'!C337:N337,"&gt;0"),COUNTIF('Calc Avalanche'!C337:N337,"&gt;0"),COUNTIF('Calc Snowball'!C337:N337,"&gt;0"),COUNTIF('Calc Cashflow'!C337:N337,"&gt;0"))</f>
        <v/>
      </c>
      <c r="F331" s="67">
        <f>CHOOSE(Plan!$K$5,'Calc Smart'!C337,'Calc Avalanche'!C337,'Calc Snowball'!C337,'Calc Cashflow'!C337)</f>
        <v/>
      </c>
      <c r="G331" s="67">
        <f>CHOOSE(Plan!$K$5,'Calc Smart'!D337,'Calc Avalanche'!D337,'Calc Snowball'!D337,'Calc Cashflow'!D337)</f>
        <v/>
      </c>
      <c r="H331" s="67">
        <f>CHOOSE(Plan!$K$5,'Calc Smart'!E337,'Calc Avalanche'!E337,'Calc Snowball'!E337,'Calc Cashflow'!E337)</f>
        <v/>
      </c>
      <c r="I331" s="67">
        <f>CHOOSE(Plan!$K$5,'Calc Smart'!F337,'Calc Avalanche'!F337,'Calc Snowball'!F337,'Calc Cashflow'!F337)</f>
        <v/>
      </c>
      <c r="J331" s="67">
        <f>CHOOSE(Plan!$K$5,'Calc Smart'!G337,'Calc Avalanche'!G337,'Calc Snowball'!G337,'Calc Cashflow'!G337)</f>
        <v/>
      </c>
      <c r="K331" s="67">
        <f>CHOOSE(Plan!$K$5,'Calc Smart'!H337,'Calc Avalanche'!H337,'Calc Snowball'!H337,'Calc Cashflow'!H337)</f>
        <v/>
      </c>
      <c r="L331" s="67">
        <f>CHOOSE(Plan!$K$5,'Calc Smart'!I337,'Calc Avalanche'!I337,'Calc Snowball'!I337,'Calc Cashflow'!I337)</f>
        <v/>
      </c>
      <c r="M331" s="67">
        <f>CHOOSE(Plan!$K$5,'Calc Smart'!J337,'Calc Avalanche'!J337,'Calc Snowball'!J337,'Calc Cashflow'!J337)</f>
        <v/>
      </c>
      <c r="N331" s="67">
        <f>CHOOSE(Plan!$K$5,'Calc Smart'!K337,'Calc Avalanche'!K337,'Calc Snowball'!K337,'Calc Cashflow'!K337)</f>
        <v/>
      </c>
      <c r="O331" s="67">
        <f>CHOOSE(Plan!$K$5,'Calc Smart'!L337,'Calc Avalanche'!L337,'Calc Snowball'!L337,'Calc Cashflow'!L337)</f>
        <v/>
      </c>
      <c r="P331" s="67">
        <f>CHOOSE(Plan!$K$5,'Calc Smart'!M337,'Calc Avalanche'!M337,'Calc Snowball'!M337,'Calc Cashflow'!M337)</f>
        <v/>
      </c>
      <c r="Q331" s="67">
        <f>CHOOSE(Plan!$K$5,'Calc Smart'!N337,'Calc Avalanche'!N337,'Calc Snowball'!N337,'Calc Cashflow'!N337)</f>
        <v/>
      </c>
    </row>
    <row r="332">
      <c r="B332" s="64">
        <f>EDATE(Plan!$C$6,326)</f>
        <v/>
      </c>
      <c r="C332" s="31">
        <f>CHOOSE(Plan!$K$5,'Calc Smart'!AE338,'Calc Avalanche'!AE338,'Calc Snowball'!AE338,'Calc Cashflow'!AE338)</f>
        <v/>
      </c>
      <c r="D332" s="31">
        <f>CHOOSE(Plan!$K$5,'Calc Smart'!AD338,'Calc Avalanche'!AD338,'Calc Snowball'!AD338,'Calc Cashflow'!AD338)</f>
        <v/>
      </c>
      <c r="E332" s="40">
        <f>CHOOSE(Plan!$K$5,COUNTIF('Calc Smart'!C338:N338,"&gt;0"),COUNTIF('Calc Avalanche'!C338:N338,"&gt;0"),COUNTIF('Calc Snowball'!C338:N338,"&gt;0"),COUNTIF('Calc Cashflow'!C338:N338,"&gt;0"))</f>
        <v/>
      </c>
      <c r="F332" s="65">
        <f>CHOOSE(Plan!$K$5,'Calc Smart'!C338,'Calc Avalanche'!C338,'Calc Snowball'!C338,'Calc Cashflow'!C338)</f>
        <v/>
      </c>
      <c r="G332" s="65">
        <f>CHOOSE(Plan!$K$5,'Calc Smart'!D338,'Calc Avalanche'!D338,'Calc Snowball'!D338,'Calc Cashflow'!D338)</f>
        <v/>
      </c>
      <c r="H332" s="65">
        <f>CHOOSE(Plan!$K$5,'Calc Smart'!E338,'Calc Avalanche'!E338,'Calc Snowball'!E338,'Calc Cashflow'!E338)</f>
        <v/>
      </c>
      <c r="I332" s="65">
        <f>CHOOSE(Plan!$K$5,'Calc Smart'!F338,'Calc Avalanche'!F338,'Calc Snowball'!F338,'Calc Cashflow'!F338)</f>
        <v/>
      </c>
      <c r="J332" s="65">
        <f>CHOOSE(Plan!$K$5,'Calc Smart'!G338,'Calc Avalanche'!G338,'Calc Snowball'!G338,'Calc Cashflow'!G338)</f>
        <v/>
      </c>
      <c r="K332" s="65">
        <f>CHOOSE(Plan!$K$5,'Calc Smart'!H338,'Calc Avalanche'!H338,'Calc Snowball'!H338,'Calc Cashflow'!H338)</f>
        <v/>
      </c>
      <c r="L332" s="65">
        <f>CHOOSE(Plan!$K$5,'Calc Smart'!I338,'Calc Avalanche'!I338,'Calc Snowball'!I338,'Calc Cashflow'!I338)</f>
        <v/>
      </c>
      <c r="M332" s="65">
        <f>CHOOSE(Plan!$K$5,'Calc Smart'!J338,'Calc Avalanche'!J338,'Calc Snowball'!J338,'Calc Cashflow'!J338)</f>
        <v/>
      </c>
      <c r="N332" s="65">
        <f>CHOOSE(Plan!$K$5,'Calc Smart'!K338,'Calc Avalanche'!K338,'Calc Snowball'!K338,'Calc Cashflow'!K338)</f>
        <v/>
      </c>
      <c r="O332" s="65">
        <f>CHOOSE(Plan!$K$5,'Calc Smart'!L338,'Calc Avalanche'!L338,'Calc Snowball'!L338,'Calc Cashflow'!L338)</f>
        <v/>
      </c>
      <c r="P332" s="65">
        <f>CHOOSE(Plan!$K$5,'Calc Smart'!M338,'Calc Avalanche'!M338,'Calc Snowball'!M338,'Calc Cashflow'!M338)</f>
        <v/>
      </c>
      <c r="Q332" s="65">
        <f>CHOOSE(Plan!$K$5,'Calc Smart'!N338,'Calc Avalanche'!N338,'Calc Snowball'!N338,'Calc Cashflow'!N338)</f>
        <v/>
      </c>
    </row>
    <row r="333">
      <c r="B333" s="66">
        <f>EDATE(Plan!$C$6,327)</f>
        <v/>
      </c>
      <c r="C333" s="32">
        <f>CHOOSE(Plan!$K$5,'Calc Smart'!AE339,'Calc Avalanche'!AE339,'Calc Snowball'!AE339,'Calc Cashflow'!AE339)</f>
        <v/>
      </c>
      <c r="D333" s="32">
        <f>CHOOSE(Plan!$K$5,'Calc Smart'!AD339,'Calc Avalanche'!AD339,'Calc Snowball'!AD339,'Calc Cashflow'!AD339)</f>
        <v/>
      </c>
      <c r="E333" s="43">
        <f>CHOOSE(Plan!$K$5,COUNTIF('Calc Smart'!C339:N339,"&gt;0"),COUNTIF('Calc Avalanche'!C339:N339,"&gt;0"),COUNTIF('Calc Snowball'!C339:N339,"&gt;0"),COUNTIF('Calc Cashflow'!C339:N339,"&gt;0"))</f>
        <v/>
      </c>
      <c r="F333" s="67">
        <f>CHOOSE(Plan!$K$5,'Calc Smart'!C339,'Calc Avalanche'!C339,'Calc Snowball'!C339,'Calc Cashflow'!C339)</f>
        <v/>
      </c>
      <c r="G333" s="67">
        <f>CHOOSE(Plan!$K$5,'Calc Smart'!D339,'Calc Avalanche'!D339,'Calc Snowball'!D339,'Calc Cashflow'!D339)</f>
        <v/>
      </c>
      <c r="H333" s="67">
        <f>CHOOSE(Plan!$K$5,'Calc Smart'!E339,'Calc Avalanche'!E339,'Calc Snowball'!E339,'Calc Cashflow'!E339)</f>
        <v/>
      </c>
      <c r="I333" s="67">
        <f>CHOOSE(Plan!$K$5,'Calc Smart'!F339,'Calc Avalanche'!F339,'Calc Snowball'!F339,'Calc Cashflow'!F339)</f>
        <v/>
      </c>
      <c r="J333" s="67">
        <f>CHOOSE(Plan!$K$5,'Calc Smart'!G339,'Calc Avalanche'!G339,'Calc Snowball'!G339,'Calc Cashflow'!G339)</f>
        <v/>
      </c>
      <c r="K333" s="67">
        <f>CHOOSE(Plan!$K$5,'Calc Smart'!H339,'Calc Avalanche'!H339,'Calc Snowball'!H339,'Calc Cashflow'!H339)</f>
        <v/>
      </c>
      <c r="L333" s="67">
        <f>CHOOSE(Plan!$K$5,'Calc Smart'!I339,'Calc Avalanche'!I339,'Calc Snowball'!I339,'Calc Cashflow'!I339)</f>
        <v/>
      </c>
      <c r="M333" s="67">
        <f>CHOOSE(Plan!$K$5,'Calc Smart'!J339,'Calc Avalanche'!J339,'Calc Snowball'!J339,'Calc Cashflow'!J339)</f>
        <v/>
      </c>
      <c r="N333" s="67">
        <f>CHOOSE(Plan!$K$5,'Calc Smart'!K339,'Calc Avalanche'!K339,'Calc Snowball'!K339,'Calc Cashflow'!K339)</f>
        <v/>
      </c>
      <c r="O333" s="67">
        <f>CHOOSE(Plan!$K$5,'Calc Smart'!L339,'Calc Avalanche'!L339,'Calc Snowball'!L339,'Calc Cashflow'!L339)</f>
        <v/>
      </c>
      <c r="P333" s="67">
        <f>CHOOSE(Plan!$K$5,'Calc Smart'!M339,'Calc Avalanche'!M339,'Calc Snowball'!M339,'Calc Cashflow'!M339)</f>
        <v/>
      </c>
      <c r="Q333" s="67">
        <f>CHOOSE(Plan!$K$5,'Calc Smart'!N339,'Calc Avalanche'!N339,'Calc Snowball'!N339,'Calc Cashflow'!N339)</f>
        <v/>
      </c>
    </row>
    <row r="334">
      <c r="B334" s="64">
        <f>EDATE(Plan!$C$6,328)</f>
        <v/>
      </c>
      <c r="C334" s="31">
        <f>CHOOSE(Plan!$K$5,'Calc Smart'!AE340,'Calc Avalanche'!AE340,'Calc Snowball'!AE340,'Calc Cashflow'!AE340)</f>
        <v/>
      </c>
      <c r="D334" s="31">
        <f>CHOOSE(Plan!$K$5,'Calc Smart'!AD340,'Calc Avalanche'!AD340,'Calc Snowball'!AD340,'Calc Cashflow'!AD340)</f>
        <v/>
      </c>
      <c r="E334" s="40">
        <f>CHOOSE(Plan!$K$5,COUNTIF('Calc Smart'!C340:N340,"&gt;0"),COUNTIF('Calc Avalanche'!C340:N340,"&gt;0"),COUNTIF('Calc Snowball'!C340:N340,"&gt;0"),COUNTIF('Calc Cashflow'!C340:N340,"&gt;0"))</f>
        <v/>
      </c>
      <c r="F334" s="65">
        <f>CHOOSE(Plan!$K$5,'Calc Smart'!C340,'Calc Avalanche'!C340,'Calc Snowball'!C340,'Calc Cashflow'!C340)</f>
        <v/>
      </c>
      <c r="G334" s="65">
        <f>CHOOSE(Plan!$K$5,'Calc Smart'!D340,'Calc Avalanche'!D340,'Calc Snowball'!D340,'Calc Cashflow'!D340)</f>
        <v/>
      </c>
      <c r="H334" s="65">
        <f>CHOOSE(Plan!$K$5,'Calc Smart'!E340,'Calc Avalanche'!E340,'Calc Snowball'!E340,'Calc Cashflow'!E340)</f>
        <v/>
      </c>
      <c r="I334" s="65">
        <f>CHOOSE(Plan!$K$5,'Calc Smart'!F340,'Calc Avalanche'!F340,'Calc Snowball'!F340,'Calc Cashflow'!F340)</f>
        <v/>
      </c>
      <c r="J334" s="65">
        <f>CHOOSE(Plan!$K$5,'Calc Smart'!G340,'Calc Avalanche'!G340,'Calc Snowball'!G340,'Calc Cashflow'!G340)</f>
        <v/>
      </c>
      <c r="K334" s="65">
        <f>CHOOSE(Plan!$K$5,'Calc Smart'!H340,'Calc Avalanche'!H340,'Calc Snowball'!H340,'Calc Cashflow'!H340)</f>
        <v/>
      </c>
      <c r="L334" s="65">
        <f>CHOOSE(Plan!$K$5,'Calc Smart'!I340,'Calc Avalanche'!I340,'Calc Snowball'!I340,'Calc Cashflow'!I340)</f>
        <v/>
      </c>
      <c r="M334" s="65">
        <f>CHOOSE(Plan!$K$5,'Calc Smart'!J340,'Calc Avalanche'!J340,'Calc Snowball'!J340,'Calc Cashflow'!J340)</f>
        <v/>
      </c>
      <c r="N334" s="65">
        <f>CHOOSE(Plan!$K$5,'Calc Smart'!K340,'Calc Avalanche'!K340,'Calc Snowball'!K340,'Calc Cashflow'!K340)</f>
        <v/>
      </c>
      <c r="O334" s="65">
        <f>CHOOSE(Plan!$K$5,'Calc Smart'!L340,'Calc Avalanche'!L340,'Calc Snowball'!L340,'Calc Cashflow'!L340)</f>
        <v/>
      </c>
      <c r="P334" s="65">
        <f>CHOOSE(Plan!$K$5,'Calc Smart'!M340,'Calc Avalanche'!M340,'Calc Snowball'!M340,'Calc Cashflow'!M340)</f>
        <v/>
      </c>
      <c r="Q334" s="65">
        <f>CHOOSE(Plan!$K$5,'Calc Smart'!N340,'Calc Avalanche'!N340,'Calc Snowball'!N340,'Calc Cashflow'!N340)</f>
        <v/>
      </c>
    </row>
    <row r="335">
      <c r="B335" s="66">
        <f>EDATE(Plan!$C$6,329)</f>
        <v/>
      </c>
      <c r="C335" s="32">
        <f>CHOOSE(Plan!$K$5,'Calc Smart'!AE341,'Calc Avalanche'!AE341,'Calc Snowball'!AE341,'Calc Cashflow'!AE341)</f>
        <v/>
      </c>
      <c r="D335" s="32">
        <f>CHOOSE(Plan!$K$5,'Calc Smart'!AD341,'Calc Avalanche'!AD341,'Calc Snowball'!AD341,'Calc Cashflow'!AD341)</f>
        <v/>
      </c>
      <c r="E335" s="43">
        <f>CHOOSE(Plan!$K$5,COUNTIF('Calc Smart'!C341:N341,"&gt;0"),COUNTIF('Calc Avalanche'!C341:N341,"&gt;0"),COUNTIF('Calc Snowball'!C341:N341,"&gt;0"),COUNTIF('Calc Cashflow'!C341:N341,"&gt;0"))</f>
        <v/>
      </c>
      <c r="F335" s="67">
        <f>CHOOSE(Plan!$K$5,'Calc Smart'!C341,'Calc Avalanche'!C341,'Calc Snowball'!C341,'Calc Cashflow'!C341)</f>
        <v/>
      </c>
      <c r="G335" s="67">
        <f>CHOOSE(Plan!$K$5,'Calc Smart'!D341,'Calc Avalanche'!D341,'Calc Snowball'!D341,'Calc Cashflow'!D341)</f>
        <v/>
      </c>
      <c r="H335" s="67">
        <f>CHOOSE(Plan!$K$5,'Calc Smart'!E341,'Calc Avalanche'!E341,'Calc Snowball'!E341,'Calc Cashflow'!E341)</f>
        <v/>
      </c>
      <c r="I335" s="67">
        <f>CHOOSE(Plan!$K$5,'Calc Smart'!F341,'Calc Avalanche'!F341,'Calc Snowball'!F341,'Calc Cashflow'!F341)</f>
        <v/>
      </c>
      <c r="J335" s="67">
        <f>CHOOSE(Plan!$K$5,'Calc Smart'!G341,'Calc Avalanche'!G341,'Calc Snowball'!G341,'Calc Cashflow'!G341)</f>
        <v/>
      </c>
      <c r="K335" s="67">
        <f>CHOOSE(Plan!$K$5,'Calc Smart'!H341,'Calc Avalanche'!H341,'Calc Snowball'!H341,'Calc Cashflow'!H341)</f>
        <v/>
      </c>
      <c r="L335" s="67">
        <f>CHOOSE(Plan!$K$5,'Calc Smart'!I341,'Calc Avalanche'!I341,'Calc Snowball'!I341,'Calc Cashflow'!I341)</f>
        <v/>
      </c>
      <c r="M335" s="67">
        <f>CHOOSE(Plan!$K$5,'Calc Smart'!J341,'Calc Avalanche'!J341,'Calc Snowball'!J341,'Calc Cashflow'!J341)</f>
        <v/>
      </c>
      <c r="N335" s="67">
        <f>CHOOSE(Plan!$K$5,'Calc Smart'!K341,'Calc Avalanche'!K341,'Calc Snowball'!K341,'Calc Cashflow'!K341)</f>
        <v/>
      </c>
      <c r="O335" s="67">
        <f>CHOOSE(Plan!$K$5,'Calc Smart'!L341,'Calc Avalanche'!L341,'Calc Snowball'!L341,'Calc Cashflow'!L341)</f>
        <v/>
      </c>
      <c r="P335" s="67">
        <f>CHOOSE(Plan!$K$5,'Calc Smart'!M341,'Calc Avalanche'!M341,'Calc Snowball'!M341,'Calc Cashflow'!M341)</f>
        <v/>
      </c>
      <c r="Q335" s="67">
        <f>CHOOSE(Plan!$K$5,'Calc Smart'!N341,'Calc Avalanche'!N341,'Calc Snowball'!N341,'Calc Cashflow'!N341)</f>
        <v/>
      </c>
    </row>
    <row r="336">
      <c r="B336" s="64">
        <f>EDATE(Plan!$C$6,330)</f>
        <v/>
      </c>
      <c r="C336" s="31">
        <f>CHOOSE(Plan!$K$5,'Calc Smart'!AE342,'Calc Avalanche'!AE342,'Calc Snowball'!AE342,'Calc Cashflow'!AE342)</f>
        <v/>
      </c>
      <c r="D336" s="31">
        <f>CHOOSE(Plan!$K$5,'Calc Smart'!AD342,'Calc Avalanche'!AD342,'Calc Snowball'!AD342,'Calc Cashflow'!AD342)</f>
        <v/>
      </c>
      <c r="E336" s="40">
        <f>CHOOSE(Plan!$K$5,COUNTIF('Calc Smart'!C342:N342,"&gt;0"),COUNTIF('Calc Avalanche'!C342:N342,"&gt;0"),COUNTIF('Calc Snowball'!C342:N342,"&gt;0"),COUNTIF('Calc Cashflow'!C342:N342,"&gt;0"))</f>
        <v/>
      </c>
      <c r="F336" s="65">
        <f>CHOOSE(Plan!$K$5,'Calc Smart'!C342,'Calc Avalanche'!C342,'Calc Snowball'!C342,'Calc Cashflow'!C342)</f>
        <v/>
      </c>
      <c r="G336" s="65">
        <f>CHOOSE(Plan!$K$5,'Calc Smart'!D342,'Calc Avalanche'!D342,'Calc Snowball'!D342,'Calc Cashflow'!D342)</f>
        <v/>
      </c>
      <c r="H336" s="65">
        <f>CHOOSE(Plan!$K$5,'Calc Smart'!E342,'Calc Avalanche'!E342,'Calc Snowball'!E342,'Calc Cashflow'!E342)</f>
        <v/>
      </c>
      <c r="I336" s="65">
        <f>CHOOSE(Plan!$K$5,'Calc Smart'!F342,'Calc Avalanche'!F342,'Calc Snowball'!F342,'Calc Cashflow'!F342)</f>
        <v/>
      </c>
      <c r="J336" s="65">
        <f>CHOOSE(Plan!$K$5,'Calc Smart'!G342,'Calc Avalanche'!G342,'Calc Snowball'!G342,'Calc Cashflow'!G342)</f>
        <v/>
      </c>
      <c r="K336" s="65">
        <f>CHOOSE(Plan!$K$5,'Calc Smart'!H342,'Calc Avalanche'!H342,'Calc Snowball'!H342,'Calc Cashflow'!H342)</f>
        <v/>
      </c>
      <c r="L336" s="65">
        <f>CHOOSE(Plan!$K$5,'Calc Smart'!I342,'Calc Avalanche'!I342,'Calc Snowball'!I342,'Calc Cashflow'!I342)</f>
        <v/>
      </c>
      <c r="M336" s="65">
        <f>CHOOSE(Plan!$K$5,'Calc Smart'!J342,'Calc Avalanche'!J342,'Calc Snowball'!J342,'Calc Cashflow'!J342)</f>
        <v/>
      </c>
      <c r="N336" s="65">
        <f>CHOOSE(Plan!$K$5,'Calc Smart'!K342,'Calc Avalanche'!K342,'Calc Snowball'!K342,'Calc Cashflow'!K342)</f>
        <v/>
      </c>
      <c r="O336" s="65">
        <f>CHOOSE(Plan!$K$5,'Calc Smart'!L342,'Calc Avalanche'!L342,'Calc Snowball'!L342,'Calc Cashflow'!L342)</f>
        <v/>
      </c>
      <c r="P336" s="65">
        <f>CHOOSE(Plan!$K$5,'Calc Smart'!M342,'Calc Avalanche'!M342,'Calc Snowball'!M342,'Calc Cashflow'!M342)</f>
        <v/>
      </c>
      <c r="Q336" s="65">
        <f>CHOOSE(Plan!$K$5,'Calc Smart'!N342,'Calc Avalanche'!N342,'Calc Snowball'!N342,'Calc Cashflow'!N342)</f>
        <v/>
      </c>
    </row>
    <row r="337">
      <c r="B337" s="66">
        <f>EDATE(Plan!$C$6,331)</f>
        <v/>
      </c>
      <c r="C337" s="32">
        <f>CHOOSE(Plan!$K$5,'Calc Smart'!AE343,'Calc Avalanche'!AE343,'Calc Snowball'!AE343,'Calc Cashflow'!AE343)</f>
        <v/>
      </c>
      <c r="D337" s="32">
        <f>CHOOSE(Plan!$K$5,'Calc Smart'!AD343,'Calc Avalanche'!AD343,'Calc Snowball'!AD343,'Calc Cashflow'!AD343)</f>
        <v/>
      </c>
      <c r="E337" s="43">
        <f>CHOOSE(Plan!$K$5,COUNTIF('Calc Smart'!C343:N343,"&gt;0"),COUNTIF('Calc Avalanche'!C343:N343,"&gt;0"),COUNTIF('Calc Snowball'!C343:N343,"&gt;0"),COUNTIF('Calc Cashflow'!C343:N343,"&gt;0"))</f>
        <v/>
      </c>
      <c r="F337" s="67">
        <f>CHOOSE(Plan!$K$5,'Calc Smart'!C343,'Calc Avalanche'!C343,'Calc Snowball'!C343,'Calc Cashflow'!C343)</f>
        <v/>
      </c>
      <c r="G337" s="67">
        <f>CHOOSE(Plan!$K$5,'Calc Smart'!D343,'Calc Avalanche'!D343,'Calc Snowball'!D343,'Calc Cashflow'!D343)</f>
        <v/>
      </c>
      <c r="H337" s="67">
        <f>CHOOSE(Plan!$K$5,'Calc Smart'!E343,'Calc Avalanche'!E343,'Calc Snowball'!E343,'Calc Cashflow'!E343)</f>
        <v/>
      </c>
      <c r="I337" s="67">
        <f>CHOOSE(Plan!$K$5,'Calc Smart'!F343,'Calc Avalanche'!F343,'Calc Snowball'!F343,'Calc Cashflow'!F343)</f>
        <v/>
      </c>
      <c r="J337" s="67">
        <f>CHOOSE(Plan!$K$5,'Calc Smart'!G343,'Calc Avalanche'!G343,'Calc Snowball'!G343,'Calc Cashflow'!G343)</f>
        <v/>
      </c>
      <c r="K337" s="67">
        <f>CHOOSE(Plan!$K$5,'Calc Smart'!H343,'Calc Avalanche'!H343,'Calc Snowball'!H343,'Calc Cashflow'!H343)</f>
        <v/>
      </c>
      <c r="L337" s="67">
        <f>CHOOSE(Plan!$K$5,'Calc Smart'!I343,'Calc Avalanche'!I343,'Calc Snowball'!I343,'Calc Cashflow'!I343)</f>
        <v/>
      </c>
      <c r="M337" s="67">
        <f>CHOOSE(Plan!$K$5,'Calc Smart'!J343,'Calc Avalanche'!J343,'Calc Snowball'!J343,'Calc Cashflow'!J343)</f>
        <v/>
      </c>
      <c r="N337" s="67">
        <f>CHOOSE(Plan!$K$5,'Calc Smart'!K343,'Calc Avalanche'!K343,'Calc Snowball'!K343,'Calc Cashflow'!K343)</f>
        <v/>
      </c>
      <c r="O337" s="67">
        <f>CHOOSE(Plan!$K$5,'Calc Smart'!L343,'Calc Avalanche'!L343,'Calc Snowball'!L343,'Calc Cashflow'!L343)</f>
        <v/>
      </c>
      <c r="P337" s="67">
        <f>CHOOSE(Plan!$K$5,'Calc Smart'!M343,'Calc Avalanche'!M343,'Calc Snowball'!M343,'Calc Cashflow'!M343)</f>
        <v/>
      </c>
      <c r="Q337" s="67">
        <f>CHOOSE(Plan!$K$5,'Calc Smart'!N343,'Calc Avalanche'!N343,'Calc Snowball'!N343,'Calc Cashflow'!N343)</f>
        <v/>
      </c>
    </row>
    <row r="338">
      <c r="B338" s="64">
        <f>EDATE(Plan!$C$6,332)</f>
        <v/>
      </c>
      <c r="C338" s="31">
        <f>CHOOSE(Plan!$K$5,'Calc Smart'!AE344,'Calc Avalanche'!AE344,'Calc Snowball'!AE344,'Calc Cashflow'!AE344)</f>
        <v/>
      </c>
      <c r="D338" s="31">
        <f>CHOOSE(Plan!$K$5,'Calc Smart'!AD344,'Calc Avalanche'!AD344,'Calc Snowball'!AD344,'Calc Cashflow'!AD344)</f>
        <v/>
      </c>
      <c r="E338" s="40">
        <f>CHOOSE(Plan!$K$5,COUNTIF('Calc Smart'!C344:N344,"&gt;0"),COUNTIF('Calc Avalanche'!C344:N344,"&gt;0"),COUNTIF('Calc Snowball'!C344:N344,"&gt;0"),COUNTIF('Calc Cashflow'!C344:N344,"&gt;0"))</f>
        <v/>
      </c>
      <c r="F338" s="65">
        <f>CHOOSE(Plan!$K$5,'Calc Smart'!C344,'Calc Avalanche'!C344,'Calc Snowball'!C344,'Calc Cashflow'!C344)</f>
        <v/>
      </c>
      <c r="G338" s="65">
        <f>CHOOSE(Plan!$K$5,'Calc Smart'!D344,'Calc Avalanche'!D344,'Calc Snowball'!D344,'Calc Cashflow'!D344)</f>
        <v/>
      </c>
      <c r="H338" s="65">
        <f>CHOOSE(Plan!$K$5,'Calc Smart'!E344,'Calc Avalanche'!E344,'Calc Snowball'!E344,'Calc Cashflow'!E344)</f>
        <v/>
      </c>
      <c r="I338" s="65">
        <f>CHOOSE(Plan!$K$5,'Calc Smart'!F344,'Calc Avalanche'!F344,'Calc Snowball'!F344,'Calc Cashflow'!F344)</f>
        <v/>
      </c>
      <c r="J338" s="65">
        <f>CHOOSE(Plan!$K$5,'Calc Smart'!G344,'Calc Avalanche'!G344,'Calc Snowball'!G344,'Calc Cashflow'!G344)</f>
        <v/>
      </c>
      <c r="K338" s="65">
        <f>CHOOSE(Plan!$K$5,'Calc Smart'!H344,'Calc Avalanche'!H344,'Calc Snowball'!H344,'Calc Cashflow'!H344)</f>
        <v/>
      </c>
      <c r="L338" s="65">
        <f>CHOOSE(Plan!$K$5,'Calc Smart'!I344,'Calc Avalanche'!I344,'Calc Snowball'!I344,'Calc Cashflow'!I344)</f>
        <v/>
      </c>
      <c r="M338" s="65">
        <f>CHOOSE(Plan!$K$5,'Calc Smart'!J344,'Calc Avalanche'!J344,'Calc Snowball'!J344,'Calc Cashflow'!J344)</f>
        <v/>
      </c>
      <c r="N338" s="65">
        <f>CHOOSE(Plan!$K$5,'Calc Smart'!K344,'Calc Avalanche'!K344,'Calc Snowball'!K344,'Calc Cashflow'!K344)</f>
        <v/>
      </c>
      <c r="O338" s="65">
        <f>CHOOSE(Plan!$K$5,'Calc Smart'!L344,'Calc Avalanche'!L344,'Calc Snowball'!L344,'Calc Cashflow'!L344)</f>
        <v/>
      </c>
      <c r="P338" s="65">
        <f>CHOOSE(Plan!$K$5,'Calc Smart'!M344,'Calc Avalanche'!M344,'Calc Snowball'!M344,'Calc Cashflow'!M344)</f>
        <v/>
      </c>
      <c r="Q338" s="65">
        <f>CHOOSE(Plan!$K$5,'Calc Smart'!N344,'Calc Avalanche'!N344,'Calc Snowball'!N344,'Calc Cashflow'!N344)</f>
        <v/>
      </c>
    </row>
    <row r="339">
      <c r="B339" s="66">
        <f>EDATE(Plan!$C$6,333)</f>
        <v/>
      </c>
      <c r="C339" s="32">
        <f>CHOOSE(Plan!$K$5,'Calc Smart'!AE345,'Calc Avalanche'!AE345,'Calc Snowball'!AE345,'Calc Cashflow'!AE345)</f>
        <v/>
      </c>
      <c r="D339" s="32">
        <f>CHOOSE(Plan!$K$5,'Calc Smart'!AD345,'Calc Avalanche'!AD345,'Calc Snowball'!AD345,'Calc Cashflow'!AD345)</f>
        <v/>
      </c>
      <c r="E339" s="43">
        <f>CHOOSE(Plan!$K$5,COUNTIF('Calc Smart'!C345:N345,"&gt;0"),COUNTIF('Calc Avalanche'!C345:N345,"&gt;0"),COUNTIF('Calc Snowball'!C345:N345,"&gt;0"),COUNTIF('Calc Cashflow'!C345:N345,"&gt;0"))</f>
        <v/>
      </c>
      <c r="F339" s="67">
        <f>CHOOSE(Plan!$K$5,'Calc Smart'!C345,'Calc Avalanche'!C345,'Calc Snowball'!C345,'Calc Cashflow'!C345)</f>
        <v/>
      </c>
      <c r="G339" s="67">
        <f>CHOOSE(Plan!$K$5,'Calc Smart'!D345,'Calc Avalanche'!D345,'Calc Snowball'!D345,'Calc Cashflow'!D345)</f>
        <v/>
      </c>
      <c r="H339" s="67">
        <f>CHOOSE(Plan!$K$5,'Calc Smart'!E345,'Calc Avalanche'!E345,'Calc Snowball'!E345,'Calc Cashflow'!E345)</f>
        <v/>
      </c>
      <c r="I339" s="67">
        <f>CHOOSE(Plan!$K$5,'Calc Smart'!F345,'Calc Avalanche'!F345,'Calc Snowball'!F345,'Calc Cashflow'!F345)</f>
        <v/>
      </c>
      <c r="J339" s="67">
        <f>CHOOSE(Plan!$K$5,'Calc Smart'!G345,'Calc Avalanche'!G345,'Calc Snowball'!G345,'Calc Cashflow'!G345)</f>
        <v/>
      </c>
      <c r="K339" s="67">
        <f>CHOOSE(Plan!$K$5,'Calc Smart'!H345,'Calc Avalanche'!H345,'Calc Snowball'!H345,'Calc Cashflow'!H345)</f>
        <v/>
      </c>
      <c r="L339" s="67">
        <f>CHOOSE(Plan!$K$5,'Calc Smart'!I345,'Calc Avalanche'!I345,'Calc Snowball'!I345,'Calc Cashflow'!I345)</f>
        <v/>
      </c>
      <c r="M339" s="67">
        <f>CHOOSE(Plan!$K$5,'Calc Smart'!J345,'Calc Avalanche'!J345,'Calc Snowball'!J345,'Calc Cashflow'!J345)</f>
        <v/>
      </c>
      <c r="N339" s="67">
        <f>CHOOSE(Plan!$K$5,'Calc Smart'!K345,'Calc Avalanche'!K345,'Calc Snowball'!K345,'Calc Cashflow'!K345)</f>
        <v/>
      </c>
      <c r="O339" s="67">
        <f>CHOOSE(Plan!$K$5,'Calc Smart'!L345,'Calc Avalanche'!L345,'Calc Snowball'!L345,'Calc Cashflow'!L345)</f>
        <v/>
      </c>
      <c r="P339" s="67">
        <f>CHOOSE(Plan!$K$5,'Calc Smart'!M345,'Calc Avalanche'!M345,'Calc Snowball'!M345,'Calc Cashflow'!M345)</f>
        <v/>
      </c>
      <c r="Q339" s="67">
        <f>CHOOSE(Plan!$K$5,'Calc Smart'!N345,'Calc Avalanche'!N345,'Calc Snowball'!N345,'Calc Cashflow'!N345)</f>
        <v/>
      </c>
    </row>
    <row r="340">
      <c r="B340" s="64">
        <f>EDATE(Plan!$C$6,334)</f>
        <v/>
      </c>
      <c r="C340" s="31">
        <f>CHOOSE(Plan!$K$5,'Calc Smart'!AE346,'Calc Avalanche'!AE346,'Calc Snowball'!AE346,'Calc Cashflow'!AE346)</f>
        <v/>
      </c>
      <c r="D340" s="31">
        <f>CHOOSE(Plan!$K$5,'Calc Smart'!AD346,'Calc Avalanche'!AD346,'Calc Snowball'!AD346,'Calc Cashflow'!AD346)</f>
        <v/>
      </c>
      <c r="E340" s="40">
        <f>CHOOSE(Plan!$K$5,COUNTIF('Calc Smart'!C346:N346,"&gt;0"),COUNTIF('Calc Avalanche'!C346:N346,"&gt;0"),COUNTIF('Calc Snowball'!C346:N346,"&gt;0"),COUNTIF('Calc Cashflow'!C346:N346,"&gt;0"))</f>
        <v/>
      </c>
      <c r="F340" s="65">
        <f>CHOOSE(Plan!$K$5,'Calc Smart'!C346,'Calc Avalanche'!C346,'Calc Snowball'!C346,'Calc Cashflow'!C346)</f>
        <v/>
      </c>
      <c r="G340" s="65">
        <f>CHOOSE(Plan!$K$5,'Calc Smart'!D346,'Calc Avalanche'!D346,'Calc Snowball'!D346,'Calc Cashflow'!D346)</f>
        <v/>
      </c>
      <c r="H340" s="65">
        <f>CHOOSE(Plan!$K$5,'Calc Smart'!E346,'Calc Avalanche'!E346,'Calc Snowball'!E346,'Calc Cashflow'!E346)</f>
        <v/>
      </c>
      <c r="I340" s="65">
        <f>CHOOSE(Plan!$K$5,'Calc Smart'!F346,'Calc Avalanche'!F346,'Calc Snowball'!F346,'Calc Cashflow'!F346)</f>
        <v/>
      </c>
      <c r="J340" s="65">
        <f>CHOOSE(Plan!$K$5,'Calc Smart'!G346,'Calc Avalanche'!G346,'Calc Snowball'!G346,'Calc Cashflow'!G346)</f>
        <v/>
      </c>
      <c r="K340" s="65">
        <f>CHOOSE(Plan!$K$5,'Calc Smart'!H346,'Calc Avalanche'!H346,'Calc Snowball'!H346,'Calc Cashflow'!H346)</f>
        <v/>
      </c>
      <c r="L340" s="65">
        <f>CHOOSE(Plan!$K$5,'Calc Smart'!I346,'Calc Avalanche'!I346,'Calc Snowball'!I346,'Calc Cashflow'!I346)</f>
        <v/>
      </c>
      <c r="M340" s="65">
        <f>CHOOSE(Plan!$K$5,'Calc Smart'!J346,'Calc Avalanche'!J346,'Calc Snowball'!J346,'Calc Cashflow'!J346)</f>
        <v/>
      </c>
      <c r="N340" s="65">
        <f>CHOOSE(Plan!$K$5,'Calc Smart'!K346,'Calc Avalanche'!K346,'Calc Snowball'!K346,'Calc Cashflow'!K346)</f>
        <v/>
      </c>
      <c r="O340" s="65">
        <f>CHOOSE(Plan!$K$5,'Calc Smart'!L346,'Calc Avalanche'!L346,'Calc Snowball'!L346,'Calc Cashflow'!L346)</f>
        <v/>
      </c>
      <c r="P340" s="65">
        <f>CHOOSE(Plan!$K$5,'Calc Smart'!M346,'Calc Avalanche'!M346,'Calc Snowball'!M346,'Calc Cashflow'!M346)</f>
        <v/>
      </c>
      <c r="Q340" s="65">
        <f>CHOOSE(Plan!$K$5,'Calc Smart'!N346,'Calc Avalanche'!N346,'Calc Snowball'!N346,'Calc Cashflow'!N346)</f>
        <v/>
      </c>
    </row>
    <row r="341">
      <c r="B341" s="66">
        <f>EDATE(Plan!$C$6,335)</f>
        <v/>
      </c>
      <c r="C341" s="32">
        <f>CHOOSE(Plan!$K$5,'Calc Smart'!AE347,'Calc Avalanche'!AE347,'Calc Snowball'!AE347,'Calc Cashflow'!AE347)</f>
        <v/>
      </c>
      <c r="D341" s="32">
        <f>CHOOSE(Plan!$K$5,'Calc Smart'!AD347,'Calc Avalanche'!AD347,'Calc Snowball'!AD347,'Calc Cashflow'!AD347)</f>
        <v/>
      </c>
      <c r="E341" s="43">
        <f>CHOOSE(Plan!$K$5,COUNTIF('Calc Smart'!C347:N347,"&gt;0"),COUNTIF('Calc Avalanche'!C347:N347,"&gt;0"),COUNTIF('Calc Snowball'!C347:N347,"&gt;0"),COUNTIF('Calc Cashflow'!C347:N347,"&gt;0"))</f>
        <v/>
      </c>
      <c r="F341" s="67">
        <f>CHOOSE(Plan!$K$5,'Calc Smart'!C347,'Calc Avalanche'!C347,'Calc Snowball'!C347,'Calc Cashflow'!C347)</f>
        <v/>
      </c>
      <c r="G341" s="67">
        <f>CHOOSE(Plan!$K$5,'Calc Smart'!D347,'Calc Avalanche'!D347,'Calc Snowball'!D347,'Calc Cashflow'!D347)</f>
        <v/>
      </c>
      <c r="H341" s="67">
        <f>CHOOSE(Plan!$K$5,'Calc Smart'!E347,'Calc Avalanche'!E347,'Calc Snowball'!E347,'Calc Cashflow'!E347)</f>
        <v/>
      </c>
      <c r="I341" s="67">
        <f>CHOOSE(Plan!$K$5,'Calc Smart'!F347,'Calc Avalanche'!F347,'Calc Snowball'!F347,'Calc Cashflow'!F347)</f>
        <v/>
      </c>
      <c r="J341" s="67">
        <f>CHOOSE(Plan!$K$5,'Calc Smart'!G347,'Calc Avalanche'!G347,'Calc Snowball'!G347,'Calc Cashflow'!G347)</f>
        <v/>
      </c>
      <c r="K341" s="67">
        <f>CHOOSE(Plan!$K$5,'Calc Smart'!H347,'Calc Avalanche'!H347,'Calc Snowball'!H347,'Calc Cashflow'!H347)</f>
        <v/>
      </c>
      <c r="L341" s="67">
        <f>CHOOSE(Plan!$K$5,'Calc Smart'!I347,'Calc Avalanche'!I347,'Calc Snowball'!I347,'Calc Cashflow'!I347)</f>
        <v/>
      </c>
      <c r="M341" s="67">
        <f>CHOOSE(Plan!$K$5,'Calc Smart'!J347,'Calc Avalanche'!J347,'Calc Snowball'!J347,'Calc Cashflow'!J347)</f>
        <v/>
      </c>
      <c r="N341" s="67">
        <f>CHOOSE(Plan!$K$5,'Calc Smart'!K347,'Calc Avalanche'!K347,'Calc Snowball'!K347,'Calc Cashflow'!K347)</f>
        <v/>
      </c>
      <c r="O341" s="67">
        <f>CHOOSE(Plan!$K$5,'Calc Smart'!L347,'Calc Avalanche'!L347,'Calc Snowball'!L347,'Calc Cashflow'!L347)</f>
        <v/>
      </c>
      <c r="P341" s="67">
        <f>CHOOSE(Plan!$K$5,'Calc Smart'!M347,'Calc Avalanche'!M347,'Calc Snowball'!M347,'Calc Cashflow'!M347)</f>
        <v/>
      </c>
      <c r="Q341" s="67">
        <f>CHOOSE(Plan!$K$5,'Calc Smart'!N347,'Calc Avalanche'!N347,'Calc Snowball'!N347,'Calc Cashflow'!N347)</f>
        <v/>
      </c>
    </row>
    <row r="342">
      <c r="B342" s="64">
        <f>EDATE(Plan!$C$6,336)</f>
        <v/>
      </c>
      <c r="C342" s="31">
        <f>CHOOSE(Plan!$K$5,'Calc Smart'!AE348,'Calc Avalanche'!AE348,'Calc Snowball'!AE348,'Calc Cashflow'!AE348)</f>
        <v/>
      </c>
      <c r="D342" s="31">
        <f>CHOOSE(Plan!$K$5,'Calc Smart'!AD348,'Calc Avalanche'!AD348,'Calc Snowball'!AD348,'Calc Cashflow'!AD348)</f>
        <v/>
      </c>
      <c r="E342" s="40">
        <f>CHOOSE(Plan!$K$5,COUNTIF('Calc Smart'!C348:N348,"&gt;0"),COUNTIF('Calc Avalanche'!C348:N348,"&gt;0"),COUNTIF('Calc Snowball'!C348:N348,"&gt;0"),COUNTIF('Calc Cashflow'!C348:N348,"&gt;0"))</f>
        <v/>
      </c>
      <c r="F342" s="65">
        <f>CHOOSE(Plan!$K$5,'Calc Smart'!C348,'Calc Avalanche'!C348,'Calc Snowball'!C348,'Calc Cashflow'!C348)</f>
        <v/>
      </c>
      <c r="G342" s="65">
        <f>CHOOSE(Plan!$K$5,'Calc Smart'!D348,'Calc Avalanche'!D348,'Calc Snowball'!D348,'Calc Cashflow'!D348)</f>
        <v/>
      </c>
      <c r="H342" s="65">
        <f>CHOOSE(Plan!$K$5,'Calc Smart'!E348,'Calc Avalanche'!E348,'Calc Snowball'!E348,'Calc Cashflow'!E348)</f>
        <v/>
      </c>
      <c r="I342" s="65">
        <f>CHOOSE(Plan!$K$5,'Calc Smart'!F348,'Calc Avalanche'!F348,'Calc Snowball'!F348,'Calc Cashflow'!F348)</f>
        <v/>
      </c>
      <c r="J342" s="65">
        <f>CHOOSE(Plan!$K$5,'Calc Smart'!G348,'Calc Avalanche'!G348,'Calc Snowball'!G348,'Calc Cashflow'!G348)</f>
        <v/>
      </c>
      <c r="K342" s="65">
        <f>CHOOSE(Plan!$K$5,'Calc Smart'!H348,'Calc Avalanche'!H348,'Calc Snowball'!H348,'Calc Cashflow'!H348)</f>
        <v/>
      </c>
      <c r="L342" s="65">
        <f>CHOOSE(Plan!$K$5,'Calc Smart'!I348,'Calc Avalanche'!I348,'Calc Snowball'!I348,'Calc Cashflow'!I348)</f>
        <v/>
      </c>
      <c r="M342" s="65">
        <f>CHOOSE(Plan!$K$5,'Calc Smart'!J348,'Calc Avalanche'!J348,'Calc Snowball'!J348,'Calc Cashflow'!J348)</f>
        <v/>
      </c>
      <c r="N342" s="65">
        <f>CHOOSE(Plan!$K$5,'Calc Smart'!K348,'Calc Avalanche'!K348,'Calc Snowball'!K348,'Calc Cashflow'!K348)</f>
        <v/>
      </c>
      <c r="O342" s="65">
        <f>CHOOSE(Plan!$K$5,'Calc Smart'!L348,'Calc Avalanche'!L348,'Calc Snowball'!L348,'Calc Cashflow'!L348)</f>
        <v/>
      </c>
      <c r="P342" s="65">
        <f>CHOOSE(Plan!$K$5,'Calc Smart'!M348,'Calc Avalanche'!M348,'Calc Snowball'!M348,'Calc Cashflow'!M348)</f>
        <v/>
      </c>
      <c r="Q342" s="65">
        <f>CHOOSE(Plan!$K$5,'Calc Smart'!N348,'Calc Avalanche'!N348,'Calc Snowball'!N348,'Calc Cashflow'!N348)</f>
        <v/>
      </c>
    </row>
    <row r="343">
      <c r="B343" s="66">
        <f>EDATE(Plan!$C$6,337)</f>
        <v/>
      </c>
      <c r="C343" s="32">
        <f>CHOOSE(Plan!$K$5,'Calc Smart'!AE349,'Calc Avalanche'!AE349,'Calc Snowball'!AE349,'Calc Cashflow'!AE349)</f>
        <v/>
      </c>
      <c r="D343" s="32">
        <f>CHOOSE(Plan!$K$5,'Calc Smart'!AD349,'Calc Avalanche'!AD349,'Calc Snowball'!AD349,'Calc Cashflow'!AD349)</f>
        <v/>
      </c>
      <c r="E343" s="43">
        <f>CHOOSE(Plan!$K$5,COUNTIF('Calc Smart'!C349:N349,"&gt;0"),COUNTIF('Calc Avalanche'!C349:N349,"&gt;0"),COUNTIF('Calc Snowball'!C349:N349,"&gt;0"),COUNTIF('Calc Cashflow'!C349:N349,"&gt;0"))</f>
        <v/>
      </c>
      <c r="F343" s="67">
        <f>CHOOSE(Plan!$K$5,'Calc Smart'!C349,'Calc Avalanche'!C349,'Calc Snowball'!C349,'Calc Cashflow'!C349)</f>
        <v/>
      </c>
      <c r="G343" s="67">
        <f>CHOOSE(Plan!$K$5,'Calc Smart'!D349,'Calc Avalanche'!D349,'Calc Snowball'!D349,'Calc Cashflow'!D349)</f>
        <v/>
      </c>
      <c r="H343" s="67">
        <f>CHOOSE(Plan!$K$5,'Calc Smart'!E349,'Calc Avalanche'!E349,'Calc Snowball'!E349,'Calc Cashflow'!E349)</f>
        <v/>
      </c>
      <c r="I343" s="67">
        <f>CHOOSE(Plan!$K$5,'Calc Smart'!F349,'Calc Avalanche'!F349,'Calc Snowball'!F349,'Calc Cashflow'!F349)</f>
        <v/>
      </c>
      <c r="J343" s="67">
        <f>CHOOSE(Plan!$K$5,'Calc Smart'!G349,'Calc Avalanche'!G349,'Calc Snowball'!G349,'Calc Cashflow'!G349)</f>
        <v/>
      </c>
      <c r="K343" s="67">
        <f>CHOOSE(Plan!$K$5,'Calc Smart'!H349,'Calc Avalanche'!H349,'Calc Snowball'!H349,'Calc Cashflow'!H349)</f>
        <v/>
      </c>
      <c r="L343" s="67">
        <f>CHOOSE(Plan!$K$5,'Calc Smart'!I349,'Calc Avalanche'!I349,'Calc Snowball'!I349,'Calc Cashflow'!I349)</f>
        <v/>
      </c>
      <c r="M343" s="67">
        <f>CHOOSE(Plan!$K$5,'Calc Smart'!J349,'Calc Avalanche'!J349,'Calc Snowball'!J349,'Calc Cashflow'!J349)</f>
        <v/>
      </c>
      <c r="N343" s="67">
        <f>CHOOSE(Plan!$K$5,'Calc Smart'!K349,'Calc Avalanche'!K349,'Calc Snowball'!K349,'Calc Cashflow'!K349)</f>
        <v/>
      </c>
      <c r="O343" s="67">
        <f>CHOOSE(Plan!$K$5,'Calc Smart'!L349,'Calc Avalanche'!L349,'Calc Snowball'!L349,'Calc Cashflow'!L349)</f>
        <v/>
      </c>
      <c r="P343" s="67">
        <f>CHOOSE(Plan!$K$5,'Calc Smart'!M349,'Calc Avalanche'!M349,'Calc Snowball'!M349,'Calc Cashflow'!M349)</f>
        <v/>
      </c>
      <c r="Q343" s="67">
        <f>CHOOSE(Plan!$K$5,'Calc Smart'!N349,'Calc Avalanche'!N349,'Calc Snowball'!N349,'Calc Cashflow'!N349)</f>
        <v/>
      </c>
    </row>
    <row r="344">
      <c r="B344" s="64">
        <f>EDATE(Plan!$C$6,338)</f>
        <v/>
      </c>
      <c r="C344" s="31">
        <f>CHOOSE(Plan!$K$5,'Calc Smart'!AE350,'Calc Avalanche'!AE350,'Calc Snowball'!AE350,'Calc Cashflow'!AE350)</f>
        <v/>
      </c>
      <c r="D344" s="31">
        <f>CHOOSE(Plan!$K$5,'Calc Smart'!AD350,'Calc Avalanche'!AD350,'Calc Snowball'!AD350,'Calc Cashflow'!AD350)</f>
        <v/>
      </c>
      <c r="E344" s="40">
        <f>CHOOSE(Plan!$K$5,COUNTIF('Calc Smart'!C350:N350,"&gt;0"),COUNTIF('Calc Avalanche'!C350:N350,"&gt;0"),COUNTIF('Calc Snowball'!C350:N350,"&gt;0"),COUNTIF('Calc Cashflow'!C350:N350,"&gt;0"))</f>
        <v/>
      </c>
      <c r="F344" s="65">
        <f>CHOOSE(Plan!$K$5,'Calc Smart'!C350,'Calc Avalanche'!C350,'Calc Snowball'!C350,'Calc Cashflow'!C350)</f>
        <v/>
      </c>
      <c r="G344" s="65">
        <f>CHOOSE(Plan!$K$5,'Calc Smart'!D350,'Calc Avalanche'!D350,'Calc Snowball'!D350,'Calc Cashflow'!D350)</f>
        <v/>
      </c>
      <c r="H344" s="65">
        <f>CHOOSE(Plan!$K$5,'Calc Smart'!E350,'Calc Avalanche'!E350,'Calc Snowball'!E350,'Calc Cashflow'!E350)</f>
        <v/>
      </c>
      <c r="I344" s="65">
        <f>CHOOSE(Plan!$K$5,'Calc Smart'!F350,'Calc Avalanche'!F350,'Calc Snowball'!F350,'Calc Cashflow'!F350)</f>
        <v/>
      </c>
      <c r="J344" s="65">
        <f>CHOOSE(Plan!$K$5,'Calc Smart'!G350,'Calc Avalanche'!G350,'Calc Snowball'!G350,'Calc Cashflow'!G350)</f>
        <v/>
      </c>
      <c r="K344" s="65">
        <f>CHOOSE(Plan!$K$5,'Calc Smart'!H350,'Calc Avalanche'!H350,'Calc Snowball'!H350,'Calc Cashflow'!H350)</f>
        <v/>
      </c>
      <c r="L344" s="65">
        <f>CHOOSE(Plan!$K$5,'Calc Smart'!I350,'Calc Avalanche'!I350,'Calc Snowball'!I350,'Calc Cashflow'!I350)</f>
        <v/>
      </c>
      <c r="M344" s="65">
        <f>CHOOSE(Plan!$K$5,'Calc Smart'!J350,'Calc Avalanche'!J350,'Calc Snowball'!J350,'Calc Cashflow'!J350)</f>
        <v/>
      </c>
      <c r="N344" s="65">
        <f>CHOOSE(Plan!$K$5,'Calc Smart'!K350,'Calc Avalanche'!K350,'Calc Snowball'!K350,'Calc Cashflow'!K350)</f>
        <v/>
      </c>
      <c r="O344" s="65">
        <f>CHOOSE(Plan!$K$5,'Calc Smart'!L350,'Calc Avalanche'!L350,'Calc Snowball'!L350,'Calc Cashflow'!L350)</f>
        <v/>
      </c>
      <c r="P344" s="65">
        <f>CHOOSE(Plan!$K$5,'Calc Smart'!M350,'Calc Avalanche'!M350,'Calc Snowball'!M350,'Calc Cashflow'!M350)</f>
        <v/>
      </c>
      <c r="Q344" s="65">
        <f>CHOOSE(Plan!$K$5,'Calc Smart'!N350,'Calc Avalanche'!N350,'Calc Snowball'!N350,'Calc Cashflow'!N350)</f>
        <v/>
      </c>
    </row>
    <row r="345">
      <c r="B345" s="66">
        <f>EDATE(Plan!$C$6,339)</f>
        <v/>
      </c>
      <c r="C345" s="32">
        <f>CHOOSE(Plan!$K$5,'Calc Smart'!AE351,'Calc Avalanche'!AE351,'Calc Snowball'!AE351,'Calc Cashflow'!AE351)</f>
        <v/>
      </c>
      <c r="D345" s="32">
        <f>CHOOSE(Plan!$K$5,'Calc Smart'!AD351,'Calc Avalanche'!AD351,'Calc Snowball'!AD351,'Calc Cashflow'!AD351)</f>
        <v/>
      </c>
      <c r="E345" s="43">
        <f>CHOOSE(Plan!$K$5,COUNTIF('Calc Smart'!C351:N351,"&gt;0"),COUNTIF('Calc Avalanche'!C351:N351,"&gt;0"),COUNTIF('Calc Snowball'!C351:N351,"&gt;0"),COUNTIF('Calc Cashflow'!C351:N351,"&gt;0"))</f>
        <v/>
      </c>
      <c r="F345" s="67">
        <f>CHOOSE(Plan!$K$5,'Calc Smart'!C351,'Calc Avalanche'!C351,'Calc Snowball'!C351,'Calc Cashflow'!C351)</f>
        <v/>
      </c>
      <c r="G345" s="67">
        <f>CHOOSE(Plan!$K$5,'Calc Smart'!D351,'Calc Avalanche'!D351,'Calc Snowball'!D351,'Calc Cashflow'!D351)</f>
        <v/>
      </c>
      <c r="H345" s="67">
        <f>CHOOSE(Plan!$K$5,'Calc Smart'!E351,'Calc Avalanche'!E351,'Calc Snowball'!E351,'Calc Cashflow'!E351)</f>
        <v/>
      </c>
      <c r="I345" s="67">
        <f>CHOOSE(Plan!$K$5,'Calc Smart'!F351,'Calc Avalanche'!F351,'Calc Snowball'!F351,'Calc Cashflow'!F351)</f>
        <v/>
      </c>
      <c r="J345" s="67">
        <f>CHOOSE(Plan!$K$5,'Calc Smart'!G351,'Calc Avalanche'!G351,'Calc Snowball'!G351,'Calc Cashflow'!G351)</f>
        <v/>
      </c>
      <c r="K345" s="67">
        <f>CHOOSE(Plan!$K$5,'Calc Smart'!H351,'Calc Avalanche'!H351,'Calc Snowball'!H351,'Calc Cashflow'!H351)</f>
        <v/>
      </c>
      <c r="L345" s="67">
        <f>CHOOSE(Plan!$K$5,'Calc Smart'!I351,'Calc Avalanche'!I351,'Calc Snowball'!I351,'Calc Cashflow'!I351)</f>
        <v/>
      </c>
      <c r="M345" s="67">
        <f>CHOOSE(Plan!$K$5,'Calc Smart'!J351,'Calc Avalanche'!J351,'Calc Snowball'!J351,'Calc Cashflow'!J351)</f>
        <v/>
      </c>
      <c r="N345" s="67">
        <f>CHOOSE(Plan!$K$5,'Calc Smart'!K351,'Calc Avalanche'!K351,'Calc Snowball'!K351,'Calc Cashflow'!K351)</f>
        <v/>
      </c>
      <c r="O345" s="67">
        <f>CHOOSE(Plan!$K$5,'Calc Smart'!L351,'Calc Avalanche'!L351,'Calc Snowball'!L351,'Calc Cashflow'!L351)</f>
        <v/>
      </c>
      <c r="P345" s="67">
        <f>CHOOSE(Plan!$K$5,'Calc Smart'!M351,'Calc Avalanche'!M351,'Calc Snowball'!M351,'Calc Cashflow'!M351)</f>
        <v/>
      </c>
      <c r="Q345" s="67">
        <f>CHOOSE(Plan!$K$5,'Calc Smart'!N351,'Calc Avalanche'!N351,'Calc Snowball'!N351,'Calc Cashflow'!N351)</f>
        <v/>
      </c>
    </row>
    <row r="346">
      <c r="B346" s="64">
        <f>EDATE(Plan!$C$6,340)</f>
        <v/>
      </c>
      <c r="C346" s="31">
        <f>CHOOSE(Plan!$K$5,'Calc Smart'!AE352,'Calc Avalanche'!AE352,'Calc Snowball'!AE352,'Calc Cashflow'!AE352)</f>
        <v/>
      </c>
      <c r="D346" s="31">
        <f>CHOOSE(Plan!$K$5,'Calc Smart'!AD352,'Calc Avalanche'!AD352,'Calc Snowball'!AD352,'Calc Cashflow'!AD352)</f>
        <v/>
      </c>
      <c r="E346" s="40">
        <f>CHOOSE(Plan!$K$5,COUNTIF('Calc Smart'!C352:N352,"&gt;0"),COUNTIF('Calc Avalanche'!C352:N352,"&gt;0"),COUNTIF('Calc Snowball'!C352:N352,"&gt;0"),COUNTIF('Calc Cashflow'!C352:N352,"&gt;0"))</f>
        <v/>
      </c>
      <c r="F346" s="65">
        <f>CHOOSE(Plan!$K$5,'Calc Smart'!C352,'Calc Avalanche'!C352,'Calc Snowball'!C352,'Calc Cashflow'!C352)</f>
        <v/>
      </c>
      <c r="G346" s="65">
        <f>CHOOSE(Plan!$K$5,'Calc Smart'!D352,'Calc Avalanche'!D352,'Calc Snowball'!D352,'Calc Cashflow'!D352)</f>
        <v/>
      </c>
      <c r="H346" s="65">
        <f>CHOOSE(Plan!$K$5,'Calc Smart'!E352,'Calc Avalanche'!E352,'Calc Snowball'!E352,'Calc Cashflow'!E352)</f>
        <v/>
      </c>
      <c r="I346" s="65">
        <f>CHOOSE(Plan!$K$5,'Calc Smart'!F352,'Calc Avalanche'!F352,'Calc Snowball'!F352,'Calc Cashflow'!F352)</f>
        <v/>
      </c>
      <c r="J346" s="65">
        <f>CHOOSE(Plan!$K$5,'Calc Smart'!G352,'Calc Avalanche'!G352,'Calc Snowball'!G352,'Calc Cashflow'!G352)</f>
        <v/>
      </c>
      <c r="K346" s="65">
        <f>CHOOSE(Plan!$K$5,'Calc Smart'!H352,'Calc Avalanche'!H352,'Calc Snowball'!H352,'Calc Cashflow'!H352)</f>
        <v/>
      </c>
      <c r="L346" s="65">
        <f>CHOOSE(Plan!$K$5,'Calc Smart'!I352,'Calc Avalanche'!I352,'Calc Snowball'!I352,'Calc Cashflow'!I352)</f>
        <v/>
      </c>
      <c r="M346" s="65">
        <f>CHOOSE(Plan!$K$5,'Calc Smart'!J352,'Calc Avalanche'!J352,'Calc Snowball'!J352,'Calc Cashflow'!J352)</f>
        <v/>
      </c>
      <c r="N346" s="65">
        <f>CHOOSE(Plan!$K$5,'Calc Smart'!K352,'Calc Avalanche'!K352,'Calc Snowball'!K352,'Calc Cashflow'!K352)</f>
        <v/>
      </c>
      <c r="O346" s="65">
        <f>CHOOSE(Plan!$K$5,'Calc Smart'!L352,'Calc Avalanche'!L352,'Calc Snowball'!L352,'Calc Cashflow'!L352)</f>
        <v/>
      </c>
      <c r="P346" s="65">
        <f>CHOOSE(Plan!$K$5,'Calc Smart'!M352,'Calc Avalanche'!M352,'Calc Snowball'!M352,'Calc Cashflow'!M352)</f>
        <v/>
      </c>
      <c r="Q346" s="65">
        <f>CHOOSE(Plan!$K$5,'Calc Smart'!N352,'Calc Avalanche'!N352,'Calc Snowball'!N352,'Calc Cashflow'!N352)</f>
        <v/>
      </c>
    </row>
    <row r="347">
      <c r="B347" s="66">
        <f>EDATE(Plan!$C$6,341)</f>
        <v/>
      </c>
      <c r="C347" s="32">
        <f>CHOOSE(Plan!$K$5,'Calc Smart'!AE353,'Calc Avalanche'!AE353,'Calc Snowball'!AE353,'Calc Cashflow'!AE353)</f>
        <v/>
      </c>
      <c r="D347" s="32">
        <f>CHOOSE(Plan!$K$5,'Calc Smart'!AD353,'Calc Avalanche'!AD353,'Calc Snowball'!AD353,'Calc Cashflow'!AD353)</f>
        <v/>
      </c>
      <c r="E347" s="43">
        <f>CHOOSE(Plan!$K$5,COUNTIF('Calc Smart'!C353:N353,"&gt;0"),COUNTIF('Calc Avalanche'!C353:N353,"&gt;0"),COUNTIF('Calc Snowball'!C353:N353,"&gt;0"),COUNTIF('Calc Cashflow'!C353:N353,"&gt;0"))</f>
        <v/>
      </c>
      <c r="F347" s="67">
        <f>CHOOSE(Plan!$K$5,'Calc Smart'!C353,'Calc Avalanche'!C353,'Calc Snowball'!C353,'Calc Cashflow'!C353)</f>
        <v/>
      </c>
      <c r="G347" s="67">
        <f>CHOOSE(Plan!$K$5,'Calc Smart'!D353,'Calc Avalanche'!D353,'Calc Snowball'!D353,'Calc Cashflow'!D353)</f>
        <v/>
      </c>
      <c r="H347" s="67">
        <f>CHOOSE(Plan!$K$5,'Calc Smart'!E353,'Calc Avalanche'!E353,'Calc Snowball'!E353,'Calc Cashflow'!E353)</f>
        <v/>
      </c>
      <c r="I347" s="67">
        <f>CHOOSE(Plan!$K$5,'Calc Smart'!F353,'Calc Avalanche'!F353,'Calc Snowball'!F353,'Calc Cashflow'!F353)</f>
        <v/>
      </c>
      <c r="J347" s="67">
        <f>CHOOSE(Plan!$K$5,'Calc Smart'!G353,'Calc Avalanche'!G353,'Calc Snowball'!G353,'Calc Cashflow'!G353)</f>
        <v/>
      </c>
      <c r="K347" s="67">
        <f>CHOOSE(Plan!$K$5,'Calc Smart'!H353,'Calc Avalanche'!H353,'Calc Snowball'!H353,'Calc Cashflow'!H353)</f>
        <v/>
      </c>
      <c r="L347" s="67">
        <f>CHOOSE(Plan!$K$5,'Calc Smart'!I353,'Calc Avalanche'!I353,'Calc Snowball'!I353,'Calc Cashflow'!I353)</f>
        <v/>
      </c>
      <c r="M347" s="67">
        <f>CHOOSE(Plan!$K$5,'Calc Smart'!J353,'Calc Avalanche'!J353,'Calc Snowball'!J353,'Calc Cashflow'!J353)</f>
        <v/>
      </c>
      <c r="N347" s="67">
        <f>CHOOSE(Plan!$K$5,'Calc Smart'!K353,'Calc Avalanche'!K353,'Calc Snowball'!K353,'Calc Cashflow'!K353)</f>
        <v/>
      </c>
      <c r="O347" s="67">
        <f>CHOOSE(Plan!$K$5,'Calc Smart'!L353,'Calc Avalanche'!L353,'Calc Snowball'!L353,'Calc Cashflow'!L353)</f>
        <v/>
      </c>
      <c r="P347" s="67">
        <f>CHOOSE(Plan!$K$5,'Calc Smart'!M353,'Calc Avalanche'!M353,'Calc Snowball'!M353,'Calc Cashflow'!M353)</f>
        <v/>
      </c>
      <c r="Q347" s="67">
        <f>CHOOSE(Plan!$K$5,'Calc Smart'!N353,'Calc Avalanche'!N353,'Calc Snowball'!N353,'Calc Cashflow'!N353)</f>
        <v/>
      </c>
    </row>
    <row r="348">
      <c r="B348" s="64">
        <f>EDATE(Plan!$C$6,342)</f>
        <v/>
      </c>
      <c r="C348" s="31">
        <f>CHOOSE(Plan!$K$5,'Calc Smart'!AE354,'Calc Avalanche'!AE354,'Calc Snowball'!AE354,'Calc Cashflow'!AE354)</f>
        <v/>
      </c>
      <c r="D348" s="31">
        <f>CHOOSE(Plan!$K$5,'Calc Smart'!AD354,'Calc Avalanche'!AD354,'Calc Snowball'!AD354,'Calc Cashflow'!AD354)</f>
        <v/>
      </c>
      <c r="E348" s="40">
        <f>CHOOSE(Plan!$K$5,COUNTIF('Calc Smart'!C354:N354,"&gt;0"),COUNTIF('Calc Avalanche'!C354:N354,"&gt;0"),COUNTIF('Calc Snowball'!C354:N354,"&gt;0"),COUNTIF('Calc Cashflow'!C354:N354,"&gt;0"))</f>
        <v/>
      </c>
      <c r="F348" s="65">
        <f>CHOOSE(Plan!$K$5,'Calc Smart'!C354,'Calc Avalanche'!C354,'Calc Snowball'!C354,'Calc Cashflow'!C354)</f>
        <v/>
      </c>
      <c r="G348" s="65">
        <f>CHOOSE(Plan!$K$5,'Calc Smart'!D354,'Calc Avalanche'!D354,'Calc Snowball'!D354,'Calc Cashflow'!D354)</f>
        <v/>
      </c>
      <c r="H348" s="65">
        <f>CHOOSE(Plan!$K$5,'Calc Smart'!E354,'Calc Avalanche'!E354,'Calc Snowball'!E354,'Calc Cashflow'!E354)</f>
        <v/>
      </c>
      <c r="I348" s="65">
        <f>CHOOSE(Plan!$K$5,'Calc Smart'!F354,'Calc Avalanche'!F354,'Calc Snowball'!F354,'Calc Cashflow'!F354)</f>
        <v/>
      </c>
      <c r="J348" s="65">
        <f>CHOOSE(Plan!$K$5,'Calc Smart'!G354,'Calc Avalanche'!G354,'Calc Snowball'!G354,'Calc Cashflow'!G354)</f>
        <v/>
      </c>
      <c r="K348" s="65">
        <f>CHOOSE(Plan!$K$5,'Calc Smart'!H354,'Calc Avalanche'!H354,'Calc Snowball'!H354,'Calc Cashflow'!H354)</f>
        <v/>
      </c>
      <c r="L348" s="65">
        <f>CHOOSE(Plan!$K$5,'Calc Smart'!I354,'Calc Avalanche'!I354,'Calc Snowball'!I354,'Calc Cashflow'!I354)</f>
        <v/>
      </c>
      <c r="M348" s="65">
        <f>CHOOSE(Plan!$K$5,'Calc Smart'!J354,'Calc Avalanche'!J354,'Calc Snowball'!J354,'Calc Cashflow'!J354)</f>
        <v/>
      </c>
      <c r="N348" s="65">
        <f>CHOOSE(Plan!$K$5,'Calc Smart'!K354,'Calc Avalanche'!K354,'Calc Snowball'!K354,'Calc Cashflow'!K354)</f>
        <v/>
      </c>
      <c r="O348" s="65">
        <f>CHOOSE(Plan!$K$5,'Calc Smart'!L354,'Calc Avalanche'!L354,'Calc Snowball'!L354,'Calc Cashflow'!L354)</f>
        <v/>
      </c>
      <c r="P348" s="65">
        <f>CHOOSE(Plan!$K$5,'Calc Smart'!M354,'Calc Avalanche'!M354,'Calc Snowball'!M354,'Calc Cashflow'!M354)</f>
        <v/>
      </c>
      <c r="Q348" s="65">
        <f>CHOOSE(Plan!$K$5,'Calc Smart'!N354,'Calc Avalanche'!N354,'Calc Snowball'!N354,'Calc Cashflow'!N354)</f>
        <v/>
      </c>
    </row>
    <row r="349">
      <c r="B349" s="66">
        <f>EDATE(Plan!$C$6,343)</f>
        <v/>
      </c>
      <c r="C349" s="32">
        <f>CHOOSE(Plan!$K$5,'Calc Smart'!AE355,'Calc Avalanche'!AE355,'Calc Snowball'!AE355,'Calc Cashflow'!AE355)</f>
        <v/>
      </c>
      <c r="D349" s="32">
        <f>CHOOSE(Plan!$K$5,'Calc Smart'!AD355,'Calc Avalanche'!AD355,'Calc Snowball'!AD355,'Calc Cashflow'!AD355)</f>
        <v/>
      </c>
      <c r="E349" s="43">
        <f>CHOOSE(Plan!$K$5,COUNTIF('Calc Smart'!C355:N355,"&gt;0"),COUNTIF('Calc Avalanche'!C355:N355,"&gt;0"),COUNTIF('Calc Snowball'!C355:N355,"&gt;0"),COUNTIF('Calc Cashflow'!C355:N355,"&gt;0"))</f>
        <v/>
      </c>
      <c r="F349" s="67">
        <f>CHOOSE(Plan!$K$5,'Calc Smart'!C355,'Calc Avalanche'!C355,'Calc Snowball'!C355,'Calc Cashflow'!C355)</f>
        <v/>
      </c>
      <c r="G349" s="67">
        <f>CHOOSE(Plan!$K$5,'Calc Smart'!D355,'Calc Avalanche'!D355,'Calc Snowball'!D355,'Calc Cashflow'!D355)</f>
        <v/>
      </c>
      <c r="H349" s="67">
        <f>CHOOSE(Plan!$K$5,'Calc Smart'!E355,'Calc Avalanche'!E355,'Calc Snowball'!E355,'Calc Cashflow'!E355)</f>
        <v/>
      </c>
      <c r="I349" s="67">
        <f>CHOOSE(Plan!$K$5,'Calc Smart'!F355,'Calc Avalanche'!F355,'Calc Snowball'!F355,'Calc Cashflow'!F355)</f>
        <v/>
      </c>
      <c r="J349" s="67">
        <f>CHOOSE(Plan!$K$5,'Calc Smart'!G355,'Calc Avalanche'!G355,'Calc Snowball'!G355,'Calc Cashflow'!G355)</f>
        <v/>
      </c>
      <c r="K349" s="67">
        <f>CHOOSE(Plan!$K$5,'Calc Smart'!H355,'Calc Avalanche'!H355,'Calc Snowball'!H355,'Calc Cashflow'!H355)</f>
        <v/>
      </c>
      <c r="L349" s="67">
        <f>CHOOSE(Plan!$K$5,'Calc Smart'!I355,'Calc Avalanche'!I355,'Calc Snowball'!I355,'Calc Cashflow'!I355)</f>
        <v/>
      </c>
      <c r="M349" s="67">
        <f>CHOOSE(Plan!$K$5,'Calc Smart'!J355,'Calc Avalanche'!J355,'Calc Snowball'!J355,'Calc Cashflow'!J355)</f>
        <v/>
      </c>
      <c r="N349" s="67">
        <f>CHOOSE(Plan!$K$5,'Calc Smart'!K355,'Calc Avalanche'!K355,'Calc Snowball'!K355,'Calc Cashflow'!K355)</f>
        <v/>
      </c>
      <c r="O349" s="67">
        <f>CHOOSE(Plan!$K$5,'Calc Smart'!L355,'Calc Avalanche'!L355,'Calc Snowball'!L355,'Calc Cashflow'!L355)</f>
        <v/>
      </c>
      <c r="P349" s="67">
        <f>CHOOSE(Plan!$K$5,'Calc Smart'!M355,'Calc Avalanche'!M355,'Calc Snowball'!M355,'Calc Cashflow'!M355)</f>
        <v/>
      </c>
      <c r="Q349" s="67">
        <f>CHOOSE(Plan!$K$5,'Calc Smart'!N355,'Calc Avalanche'!N355,'Calc Snowball'!N355,'Calc Cashflow'!N355)</f>
        <v/>
      </c>
    </row>
    <row r="350">
      <c r="B350" s="64">
        <f>EDATE(Plan!$C$6,344)</f>
        <v/>
      </c>
      <c r="C350" s="31">
        <f>CHOOSE(Plan!$K$5,'Calc Smart'!AE356,'Calc Avalanche'!AE356,'Calc Snowball'!AE356,'Calc Cashflow'!AE356)</f>
        <v/>
      </c>
      <c r="D350" s="31">
        <f>CHOOSE(Plan!$K$5,'Calc Smart'!AD356,'Calc Avalanche'!AD356,'Calc Snowball'!AD356,'Calc Cashflow'!AD356)</f>
        <v/>
      </c>
      <c r="E350" s="40">
        <f>CHOOSE(Plan!$K$5,COUNTIF('Calc Smart'!C356:N356,"&gt;0"),COUNTIF('Calc Avalanche'!C356:N356,"&gt;0"),COUNTIF('Calc Snowball'!C356:N356,"&gt;0"),COUNTIF('Calc Cashflow'!C356:N356,"&gt;0"))</f>
        <v/>
      </c>
      <c r="F350" s="65">
        <f>CHOOSE(Plan!$K$5,'Calc Smart'!C356,'Calc Avalanche'!C356,'Calc Snowball'!C356,'Calc Cashflow'!C356)</f>
        <v/>
      </c>
      <c r="G350" s="65">
        <f>CHOOSE(Plan!$K$5,'Calc Smart'!D356,'Calc Avalanche'!D356,'Calc Snowball'!D356,'Calc Cashflow'!D356)</f>
        <v/>
      </c>
      <c r="H350" s="65">
        <f>CHOOSE(Plan!$K$5,'Calc Smart'!E356,'Calc Avalanche'!E356,'Calc Snowball'!E356,'Calc Cashflow'!E356)</f>
        <v/>
      </c>
      <c r="I350" s="65">
        <f>CHOOSE(Plan!$K$5,'Calc Smart'!F356,'Calc Avalanche'!F356,'Calc Snowball'!F356,'Calc Cashflow'!F356)</f>
        <v/>
      </c>
      <c r="J350" s="65">
        <f>CHOOSE(Plan!$K$5,'Calc Smart'!G356,'Calc Avalanche'!G356,'Calc Snowball'!G356,'Calc Cashflow'!G356)</f>
        <v/>
      </c>
      <c r="K350" s="65">
        <f>CHOOSE(Plan!$K$5,'Calc Smart'!H356,'Calc Avalanche'!H356,'Calc Snowball'!H356,'Calc Cashflow'!H356)</f>
        <v/>
      </c>
      <c r="L350" s="65">
        <f>CHOOSE(Plan!$K$5,'Calc Smart'!I356,'Calc Avalanche'!I356,'Calc Snowball'!I356,'Calc Cashflow'!I356)</f>
        <v/>
      </c>
      <c r="M350" s="65">
        <f>CHOOSE(Plan!$K$5,'Calc Smart'!J356,'Calc Avalanche'!J356,'Calc Snowball'!J356,'Calc Cashflow'!J356)</f>
        <v/>
      </c>
      <c r="N350" s="65">
        <f>CHOOSE(Plan!$K$5,'Calc Smart'!K356,'Calc Avalanche'!K356,'Calc Snowball'!K356,'Calc Cashflow'!K356)</f>
        <v/>
      </c>
      <c r="O350" s="65">
        <f>CHOOSE(Plan!$K$5,'Calc Smart'!L356,'Calc Avalanche'!L356,'Calc Snowball'!L356,'Calc Cashflow'!L356)</f>
        <v/>
      </c>
      <c r="P350" s="65">
        <f>CHOOSE(Plan!$K$5,'Calc Smart'!M356,'Calc Avalanche'!M356,'Calc Snowball'!M356,'Calc Cashflow'!M356)</f>
        <v/>
      </c>
      <c r="Q350" s="65">
        <f>CHOOSE(Plan!$K$5,'Calc Smart'!N356,'Calc Avalanche'!N356,'Calc Snowball'!N356,'Calc Cashflow'!N356)</f>
        <v/>
      </c>
    </row>
    <row r="351">
      <c r="B351" s="66">
        <f>EDATE(Plan!$C$6,345)</f>
        <v/>
      </c>
      <c r="C351" s="32">
        <f>CHOOSE(Plan!$K$5,'Calc Smart'!AE357,'Calc Avalanche'!AE357,'Calc Snowball'!AE357,'Calc Cashflow'!AE357)</f>
        <v/>
      </c>
      <c r="D351" s="32">
        <f>CHOOSE(Plan!$K$5,'Calc Smart'!AD357,'Calc Avalanche'!AD357,'Calc Snowball'!AD357,'Calc Cashflow'!AD357)</f>
        <v/>
      </c>
      <c r="E351" s="43">
        <f>CHOOSE(Plan!$K$5,COUNTIF('Calc Smart'!C357:N357,"&gt;0"),COUNTIF('Calc Avalanche'!C357:N357,"&gt;0"),COUNTIF('Calc Snowball'!C357:N357,"&gt;0"),COUNTIF('Calc Cashflow'!C357:N357,"&gt;0"))</f>
        <v/>
      </c>
      <c r="F351" s="67">
        <f>CHOOSE(Plan!$K$5,'Calc Smart'!C357,'Calc Avalanche'!C357,'Calc Snowball'!C357,'Calc Cashflow'!C357)</f>
        <v/>
      </c>
      <c r="G351" s="67">
        <f>CHOOSE(Plan!$K$5,'Calc Smart'!D357,'Calc Avalanche'!D357,'Calc Snowball'!D357,'Calc Cashflow'!D357)</f>
        <v/>
      </c>
      <c r="H351" s="67">
        <f>CHOOSE(Plan!$K$5,'Calc Smart'!E357,'Calc Avalanche'!E357,'Calc Snowball'!E357,'Calc Cashflow'!E357)</f>
        <v/>
      </c>
      <c r="I351" s="67">
        <f>CHOOSE(Plan!$K$5,'Calc Smart'!F357,'Calc Avalanche'!F357,'Calc Snowball'!F357,'Calc Cashflow'!F357)</f>
        <v/>
      </c>
      <c r="J351" s="67">
        <f>CHOOSE(Plan!$K$5,'Calc Smart'!G357,'Calc Avalanche'!G357,'Calc Snowball'!G357,'Calc Cashflow'!G357)</f>
        <v/>
      </c>
      <c r="K351" s="67">
        <f>CHOOSE(Plan!$K$5,'Calc Smart'!H357,'Calc Avalanche'!H357,'Calc Snowball'!H357,'Calc Cashflow'!H357)</f>
        <v/>
      </c>
      <c r="L351" s="67">
        <f>CHOOSE(Plan!$K$5,'Calc Smart'!I357,'Calc Avalanche'!I357,'Calc Snowball'!I357,'Calc Cashflow'!I357)</f>
        <v/>
      </c>
      <c r="M351" s="67">
        <f>CHOOSE(Plan!$K$5,'Calc Smart'!J357,'Calc Avalanche'!J357,'Calc Snowball'!J357,'Calc Cashflow'!J357)</f>
        <v/>
      </c>
      <c r="N351" s="67">
        <f>CHOOSE(Plan!$K$5,'Calc Smart'!K357,'Calc Avalanche'!K357,'Calc Snowball'!K357,'Calc Cashflow'!K357)</f>
        <v/>
      </c>
      <c r="O351" s="67">
        <f>CHOOSE(Plan!$K$5,'Calc Smart'!L357,'Calc Avalanche'!L357,'Calc Snowball'!L357,'Calc Cashflow'!L357)</f>
        <v/>
      </c>
      <c r="P351" s="67">
        <f>CHOOSE(Plan!$K$5,'Calc Smart'!M357,'Calc Avalanche'!M357,'Calc Snowball'!M357,'Calc Cashflow'!M357)</f>
        <v/>
      </c>
      <c r="Q351" s="67">
        <f>CHOOSE(Plan!$K$5,'Calc Smart'!N357,'Calc Avalanche'!N357,'Calc Snowball'!N357,'Calc Cashflow'!N357)</f>
        <v/>
      </c>
    </row>
    <row r="352">
      <c r="B352" s="64">
        <f>EDATE(Plan!$C$6,346)</f>
        <v/>
      </c>
      <c r="C352" s="31">
        <f>CHOOSE(Plan!$K$5,'Calc Smart'!AE358,'Calc Avalanche'!AE358,'Calc Snowball'!AE358,'Calc Cashflow'!AE358)</f>
        <v/>
      </c>
      <c r="D352" s="31">
        <f>CHOOSE(Plan!$K$5,'Calc Smart'!AD358,'Calc Avalanche'!AD358,'Calc Snowball'!AD358,'Calc Cashflow'!AD358)</f>
        <v/>
      </c>
      <c r="E352" s="40">
        <f>CHOOSE(Plan!$K$5,COUNTIF('Calc Smart'!C358:N358,"&gt;0"),COUNTIF('Calc Avalanche'!C358:N358,"&gt;0"),COUNTIF('Calc Snowball'!C358:N358,"&gt;0"),COUNTIF('Calc Cashflow'!C358:N358,"&gt;0"))</f>
        <v/>
      </c>
      <c r="F352" s="65">
        <f>CHOOSE(Plan!$K$5,'Calc Smart'!C358,'Calc Avalanche'!C358,'Calc Snowball'!C358,'Calc Cashflow'!C358)</f>
        <v/>
      </c>
      <c r="G352" s="65">
        <f>CHOOSE(Plan!$K$5,'Calc Smart'!D358,'Calc Avalanche'!D358,'Calc Snowball'!D358,'Calc Cashflow'!D358)</f>
        <v/>
      </c>
      <c r="H352" s="65">
        <f>CHOOSE(Plan!$K$5,'Calc Smart'!E358,'Calc Avalanche'!E358,'Calc Snowball'!E358,'Calc Cashflow'!E358)</f>
        <v/>
      </c>
      <c r="I352" s="65">
        <f>CHOOSE(Plan!$K$5,'Calc Smart'!F358,'Calc Avalanche'!F358,'Calc Snowball'!F358,'Calc Cashflow'!F358)</f>
        <v/>
      </c>
      <c r="J352" s="65">
        <f>CHOOSE(Plan!$K$5,'Calc Smart'!G358,'Calc Avalanche'!G358,'Calc Snowball'!G358,'Calc Cashflow'!G358)</f>
        <v/>
      </c>
      <c r="K352" s="65">
        <f>CHOOSE(Plan!$K$5,'Calc Smart'!H358,'Calc Avalanche'!H358,'Calc Snowball'!H358,'Calc Cashflow'!H358)</f>
        <v/>
      </c>
      <c r="L352" s="65">
        <f>CHOOSE(Plan!$K$5,'Calc Smart'!I358,'Calc Avalanche'!I358,'Calc Snowball'!I358,'Calc Cashflow'!I358)</f>
        <v/>
      </c>
      <c r="M352" s="65">
        <f>CHOOSE(Plan!$K$5,'Calc Smart'!J358,'Calc Avalanche'!J358,'Calc Snowball'!J358,'Calc Cashflow'!J358)</f>
        <v/>
      </c>
      <c r="N352" s="65">
        <f>CHOOSE(Plan!$K$5,'Calc Smart'!K358,'Calc Avalanche'!K358,'Calc Snowball'!K358,'Calc Cashflow'!K358)</f>
        <v/>
      </c>
      <c r="O352" s="65">
        <f>CHOOSE(Plan!$K$5,'Calc Smart'!L358,'Calc Avalanche'!L358,'Calc Snowball'!L358,'Calc Cashflow'!L358)</f>
        <v/>
      </c>
      <c r="P352" s="65">
        <f>CHOOSE(Plan!$K$5,'Calc Smart'!M358,'Calc Avalanche'!M358,'Calc Snowball'!M358,'Calc Cashflow'!M358)</f>
        <v/>
      </c>
      <c r="Q352" s="65">
        <f>CHOOSE(Plan!$K$5,'Calc Smart'!N358,'Calc Avalanche'!N358,'Calc Snowball'!N358,'Calc Cashflow'!N358)</f>
        <v/>
      </c>
    </row>
    <row r="353">
      <c r="B353" s="66">
        <f>EDATE(Plan!$C$6,347)</f>
        <v/>
      </c>
      <c r="C353" s="32">
        <f>CHOOSE(Plan!$K$5,'Calc Smart'!AE359,'Calc Avalanche'!AE359,'Calc Snowball'!AE359,'Calc Cashflow'!AE359)</f>
        <v/>
      </c>
      <c r="D353" s="32">
        <f>CHOOSE(Plan!$K$5,'Calc Smart'!AD359,'Calc Avalanche'!AD359,'Calc Snowball'!AD359,'Calc Cashflow'!AD359)</f>
        <v/>
      </c>
      <c r="E353" s="43">
        <f>CHOOSE(Plan!$K$5,COUNTIF('Calc Smart'!C359:N359,"&gt;0"),COUNTIF('Calc Avalanche'!C359:N359,"&gt;0"),COUNTIF('Calc Snowball'!C359:N359,"&gt;0"),COUNTIF('Calc Cashflow'!C359:N359,"&gt;0"))</f>
        <v/>
      </c>
      <c r="F353" s="67">
        <f>CHOOSE(Plan!$K$5,'Calc Smart'!C359,'Calc Avalanche'!C359,'Calc Snowball'!C359,'Calc Cashflow'!C359)</f>
        <v/>
      </c>
      <c r="G353" s="67">
        <f>CHOOSE(Plan!$K$5,'Calc Smart'!D359,'Calc Avalanche'!D359,'Calc Snowball'!D359,'Calc Cashflow'!D359)</f>
        <v/>
      </c>
      <c r="H353" s="67">
        <f>CHOOSE(Plan!$K$5,'Calc Smart'!E359,'Calc Avalanche'!E359,'Calc Snowball'!E359,'Calc Cashflow'!E359)</f>
        <v/>
      </c>
      <c r="I353" s="67">
        <f>CHOOSE(Plan!$K$5,'Calc Smart'!F359,'Calc Avalanche'!F359,'Calc Snowball'!F359,'Calc Cashflow'!F359)</f>
        <v/>
      </c>
      <c r="J353" s="67">
        <f>CHOOSE(Plan!$K$5,'Calc Smart'!G359,'Calc Avalanche'!G359,'Calc Snowball'!G359,'Calc Cashflow'!G359)</f>
        <v/>
      </c>
      <c r="K353" s="67">
        <f>CHOOSE(Plan!$K$5,'Calc Smart'!H359,'Calc Avalanche'!H359,'Calc Snowball'!H359,'Calc Cashflow'!H359)</f>
        <v/>
      </c>
      <c r="L353" s="67">
        <f>CHOOSE(Plan!$K$5,'Calc Smart'!I359,'Calc Avalanche'!I359,'Calc Snowball'!I359,'Calc Cashflow'!I359)</f>
        <v/>
      </c>
      <c r="M353" s="67">
        <f>CHOOSE(Plan!$K$5,'Calc Smart'!J359,'Calc Avalanche'!J359,'Calc Snowball'!J359,'Calc Cashflow'!J359)</f>
        <v/>
      </c>
      <c r="N353" s="67">
        <f>CHOOSE(Plan!$K$5,'Calc Smart'!K359,'Calc Avalanche'!K359,'Calc Snowball'!K359,'Calc Cashflow'!K359)</f>
        <v/>
      </c>
      <c r="O353" s="67">
        <f>CHOOSE(Plan!$K$5,'Calc Smart'!L359,'Calc Avalanche'!L359,'Calc Snowball'!L359,'Calc Cashflow'!L359)</f>
        <v/>
      </c>
      <c r="P353" s="67">
        <f>CHOOSE(Plan!$K$5,'Calc Smart'!M359,'Calc Avalanche'!M359,'Calc Snowball'!M359,'Calc Cashflow'!M359)</f>
        <v/>
      </c>
      <c r="Q353" s="67">
        <f>CHOOSE(Plan!$K$5,'Calc Smart'!N359,'Calc Avalanche'!N359,'Calc Snowball'!N359,'Calc Cashflow'!N359)</f>
        <v/>
      </c>
    </row>
    <row r="354">
      <c r="B354" s="64">
        <f>EDATE(Plan!$C$6,348)</f>
        <v/>
      </c>
      <c r="C354" s="31">
        <f>CHOOSE(Plan!$K$5,'Calc Smart'!AE360,'Calc Avalanche'!AE360,'Calc Snowball'!AE360,'Calc Cashflow'!AE360)</f>
        <v/>
      </c>
      <c r="D354" s="31">
        <f>CHOOSE(Plan!$K$5,'Calc Smart'!AD360,'Calc Avalanche'!AD360,'Calc Snowball'!AD360,'Calc Cashflow'!AD360)</f>
        <v/>
      </c>
      <c r="E354" s="40">
        <f>CHOOSE(Plan!$K$5,COUNTIF('Calc Smart'!C360:N360,"&gt;0"),COUNTIF('Calc Avalanche'!C360:N360,"&gt;0"),COUNTIF('Calc Snowball'!C360:N360,"&gt;0"),COUNTIF('Calc Cashflow'!C360:N360,"&gt;0"))</f>
        <v/>
      </c>
      <c r="F354" s="65">
        <f>CHOOSE(Plan!$K$5,'Calc Smart'!C360,'Calc Avalanche'!C360,'Calc Snowball'!C360,'Calc Cashflow'!C360)</f>
        <v/>
      </c>
      <c r="G354" s="65">
        <f>CHOOSE(Plan!$K$5,'Calc Smart'!D360,'Calc Avalanche'!D360,'Calc Snowball'!D360,'Calc Cashflow'!D360)</f>
        <v/>
      </c>
      <c r="H354" s="65">
        <f>CHOOSE(Plan!$K$5,'Calc Smart'!E360,'Calc Avalanche'!E360,'Calc Snowball'!E360,'Calc Cashflow'!E360)</f>
        <v/>
      </c>
      <c r="I354" s="65">
        <f>CHOOSE(Plan!$K$5,'Calc Smart'!F360,'Calc Avalanche'!F360,'Calc Snowball'!F360,'Calc Cashflow'!F360)</f>
        <v/>
      </c>
      <c r="J354" s="65">
        <f>CHOOSE(Plan!$K$5,'Calc Smart'!G360,'Calc Avalanche'!G360,'Calc Snowball'!G360,'Calc Cashflow'!G360)</f>
        <v/>
      </c>
      <c r="K354" s="65">
        <f>CHOOSE(Plan!$K$5,'Calc Smart'!H360,'Calc Avalanche'!H360,'Calc Snowball'!H360,'Calc Cashflow'!H360)</f>
        <v/>
      </c>
      <c r="L354" s="65">
        <f>CHOOSE(Plan!$K$5,'Calc Smart'!I360,'Calc Avalanche'!I360,'Calc Snowball'!I360,'Calc Cashflow'!I360)</f>
        <v/>
      </c>
      <c r="M354" s="65">
        <f>CHOOSE(Plan!$K$5,'Calc Smart'!J360,'Calc Avalanche'!J360,'Calc Snowball'!J360,'Calc Cashflow'!J360)</f>
        <v/>
      </c>
      <c r="N354" s="65">
        <f>CHOOSE(Plan!$K$5,'Calc Smart'!K360,'Calc Avalanche'!K360,'Calc Snowball'!K360,'Calc Cashflow'!K360)</f>
        <v/>
      </c>
      <c r="O354" s="65">
        <f>CHOOSE(Plan!$K$5,'Calc Smart'!L360,'Calc Avalanche'!L360,'Calc Snowball'!L360,'Calc Cashflow'!L360)</f>
        <v/>
      </c>
      <c r="P354" s="65">
        <f>CHOOSE(Plan!$K$5,'Calc Smart'!M360,'Calc Avalanche'!M360,'Calc Snowball'!M360,'Calc Cashflow'!M360)</f>
        <v/>
      </c>
      <c r="Q354" s="65">
        <f>CHOOSE(Plan!$K$5,'Calc Smart'!N360,'Calc Avalanche'!N360,'Calc Snowball'!N360,'Calc Cashflow'!N360)</f>
        <v/>
      </c>
    </row>
    <row r="355">
      <c r="B355" s="66">
        <f>EDATE(Plan!$C$6,349)</f>
        <v/>
      </c>
      <c r="C355" s="32">
        <f>CHOOSE(Plan!$K$5,'Calc Smart'!AE361,'Calc Avalanche'!AE361,'Calc Snowball'!AE361,'Calc Cashflow'!AE361)</f>
        <v/>
      </c>
      <c r="D355" s="32">
        <f>CHOOSE(Plan!$K$5,'Calc Smart'!AD361,'Calc Avalanche'!AD361,'Calc Snowball'!AD361,'Calc Cashflow'!AD361)</f>
        <v/>
      </c>
      <c r="E355" s="43">
        <f>CHOOSE(Plan!$K$5,COUNTIF('Calc Smart'!C361:N361,"&gt;0"),COUNTIF('Calc Avalanche'!C361:N361,"&gt;0"),COUNTIF('Calc Snowball'!C361:N361,"&gt;0"),COUNTIF('Calc Cashflow'!C361:N361,"&gt;0"))</f>
        <v/>
      </c>
      <c r="F355" s="67">
        <f>CHOOSE(Plan!$K$5,'Calc Smart'!C361,'Calc Avalanche'!C361,'Calc Snowball'!C361,'Calc Cashflow'!C361)</f>
        <v/>
      </c>
      <c r="G355" s="67">
        <f>CHOOSE(Plan!$K$5,'Calc Smart'!D361,'Calc Avalanche'!D361,'Calc Snowball'!D361,'Calc Cashflow'!D361)</f>
        <v/>
      </c>
      <c r="H355" s="67">
        <f>CHOOSE(Plan!$K$5,'Calc Smart'!E361,'Calc Avalanche'!E361,'Calc Snowball'!E361,'Calc Cashflow'!E361)</f>
        <v/>
      </c>
      <c r="I355" s="67">
        <f>CHOOSE(Plan!$K$5,'Calc Smart'!F361,'Calc Avalanche'!F361,'Calc Snowball'!F361,'Calc Cashflow'!F361)</f>
        <v/>
      </c>
      <c r="J355" s="67">
        <f>CHOOSE(Plan!$K$5,'Calc Smart'!G361,'Calc Avalanche'!G361,'Calc Snowball'!G361,'Calc Cashflow'!G361)</f>
        <v/>
      </c>
      <c r="K355" s="67">
        <f>CHOOSE(Plan!$K$5,'Calc Smart'!H361,'Calc Avalanche'!H361,'Calc Snowball'!H361,'Calc Cashflow'!H361)</f>
        <v/>
      </c>
      <c r="L355" s="67">
        <f>CHOOSE(Plan!$K$5,'Calc Smart'!I361,'Calc Avalanche'!I361,'Calc Snowball'!I361,'Calc Cashflow'!I361)</f>
        <v/>
      </c>
      <c r="M355" s="67">
        <f>CHOOSE(Plan!$K$5,'Calc Smart'!J361,'Calc Avalanche'!J361,'Calc Snowball'!J361,'Calc Cashflow'!J361)</f>
        <v/>
      </c>
      <c r="N355" s="67">
        <f>CHOOSE(Plan!$K$5,'Calc Smart'!K361,'Calc Avalanche'!K361,'Calc Snowball'!K361,'Calc Cashflow'!K361)</f>
        <v/>
      </c>
      <c r="O355" s="67">
        <f>CHOOSE(Plan!$K$5,'Calc Smart'!L361,'Calc Avalanche'!L361,'Calc Snowball'!L361,'Calc Cashflow'!L361)</f>
        <v/>
      </c>
      <c r="P355" s="67">
        <f>CHOOSE(Plan!$K$5,'Calc Smart'!M361,'Calc Avalanche'!M361,'Calc Snowball'!M361,'Calc Cashflow'!M361)</f>
        <v/>
      </c>
      <c r="Q355" s="67">
        <f>CHOOSE(Plan!$K$5,'Calc Smart'!N361,'Calc Avalanche'!N361,'Calc Snowball'!N361,'Calc Cashflow'!N361)</f>
        <v/>
      </c>
    </row>
    <row r="356">
      <c r="B356" s="64">
        <f>EDATE(Plan!$C$6,350)</f>
        <v/>
      </c>
      <c r="C356" s="31">
        <f>CHOOSE(Plan!$K$5,'Calc Smart'!AE362,'Calc Avalanche'!AE362,'Calc Snowball'!AE362,'Calc Cashflow'!AE362)</f>
        <v/>
      </c>
      <c r="D356" s="31">
        <f>CHOOSE(Plan!$K$5,'Calc Smart'!AD362,'Calc Avalanche'!AD362,'Calc Snowball'!AD362,'Calc Cashflow'!AD362)</f>
        <v/>
      </c>
      <c r="E356" s="40">
        <f>CHOOSE(Plan!$K$5,COUNTIF('Calc Smart'!C362:N362,"&gt;0"),COUNTIF('Calc Avalanche'!C362:N362,"&gt;0"),COUNTIF('Calc Snowball'!C362:N362,"&gt;0"),COUNTIF('Calc Cashflow'!C362:N362,"&gt;0"))</f>
        <v/>
      </c>
      <c r="F356" s="65">
        <f>CHOOSE(Plan!$K$5,'Calc Smart'!C362,'Calc Avalanche'!C362,'Calc Snowball'!C362,'Calc Cashflow'!C362)</f>
        <v/>
      </c>
      <c r="G356" s="65">
        <f>CHOOSE(Plan!$K$5,'Calc Smart'!D362,'Calc Avalanche'!D362,'Calc Snowball'!D362,'Calc Cashflow'!D362)</f>
        <v/>
      </c>
      <c r="H356" s="65">
        <f>CHOOSE(Plan!$K$5,'Calc Smart'!E362,'Calc Avalanche'!E362,'Calc Snowball'!E362,'Calc Cashflow'!E362)</f>
        <v/>
      </c>
      <c r="I356" s="65">
        <f>CHOOSE(Plan!$K$5,'Calc Smart'!F362,'Calc Avalanche'!F362,'Calc Snowball'!F362,'Calc Cashflow'!F362)</f>
        <v/>
      </c>
      <c r="J356" s="65">
        <f>CHOOSE(Plan!$K$5,'Calc Smart'!G362,'Calc Avalanche'!G362,'Calc Snowball'!G362,'Calc Cashflow'!G362)</f>
        <v/>
      </c>
      <c r="K356" s="65">
        <f>CHOOSE(Plan!$K$5,'Calc Smart'!H362,'Calc Avalanche'!H362,'Calc Snowball'!H362,'Calc Cashflow'!H362)</f>
        <v/>
      </c>
      <c r="L356" s="65">
        <f>CHOOSE(Plan!$K$5,'Calc Smart'!I362,'Calc Avalanche'!I362,'Calc Snowball'!I362,'Calc Cashflow'!I362)</f>
        <v/>
      </c>
      <c r="M356" s="65">
        <f>CHOOSE(Plan!$K$5,'Calc Smart'!J362,'Calc Avalanche'!J362,'Calc Snowball'!J362,'Calc Cashflow'!J362)</f>
        <v/>
      </c>
      <c r="N356" s="65">
        <f>CHOOSE(Plan!$K$5,'Calc Smart'!K362,'Calc Avalanche'!K362,'Calc Snowball'!K362,'Calc Cashflow'!K362)</f>
        <v/>
      </c>
      <c r="O356" s="65">
        <f>CHOOSE(Plan!$K$5,'Calc Smart'!L362,'Calc Avalanche'!L362,'Calc Snowball'!L362,'Calc Cashflow'!L362)</f>
        <v/>
      </c>
      <c r="P356" s="65">
        <f>CHOOSE(Plan!$K$5,'Calc Smart'!M362,'Calc Avalanche'!M362,'Calc Snowball'!M362,'Calc Cashflow'!M362)</f>
        <v/>
      </c>
      <c r="Q356" s="65">
        <f>CHOOSE(Plan!$K$5,'Calc Smart'!N362,'Calc Avalanche'!N362,'Calc Snowball'!N362,'Calc Cashflow'!N362)</f>
        <v/>
      </c>
    </row>
    <row r="357">
      <c r="B357" s="66">
        <f>EDATE(Plan!$C$6,351)</f>
        <v/>
      </c>
      <c r="C357" s="32">
        <f>CHOOSE(Plan!$K$5,'Calc Smart'!AE363,'Calc Avalanche'!AE363,'Calc Snowball'!AE363,'Calc Cashflow'!AE363)</f>
        <v/>
      </c>
      <c r="D357" s="32">
        <f>CHOOSE(Plan!$K$5,'Calc Smart'!AD363,'Calc Avalanche'!AD363,'Calc Snowball'!AD363,'Calc Cashflow'!AD363)</f>
        <v/>
      </c>
      <c r="E357" s="43">
        <f>CHOOSE(Plan!$K$5,COUNTIF('Calc Smart'!C363:N363,"&gt;0"),COUNTIF('Calc Avalanche'!C363:N363,"&gt;0"),COUNTIF('Calc Snowball'!C363:N363,"&gt;0"),COUNTIF('Calc Cashflow'!C363:N363,"&gt;0"))</f>
        <v/>
      </c>
      <c r="F357" s="67">
        <f>CHOOSE(Plan!$K$5,'Calc Smart'!C363,'Calc Avalanche'!C363,'Calc Snowball'!C363,'Calc Cashflow'!C363)</f>
        <v/>
      </c>
      <c r="G357" s="67">
        <f>CHOOSE(Plan!$K$5,'Calc Smart'!D363,'Calc Avalanche'!D363,'Calc Snowball'!D363,'Calc Cashflow'!D363)</f>
        <v/>
      </c>
      <c r="H357" s="67">
        <f>CHOOSE(Plan!$K$5,'Calc Smart'!E363,'Calc Avalanche'!E363,'Calc Snowball'!E363,'Calc Cashflow'!E363)</f>
        <v/>
      </c>
      <c r="I357" s="67">
        <f>CHOOSE(Plan!$K$5,'Calc Smart'!F363,'Calc Avalanche'!F363,'Calc Snowball'!F363,'Calc Cashflow'!F363)</f>
        <v/>
      </c>
      <c r="J357" s="67">
        <f>CHOOSE(Plan!$K$5,'Calc Smart'!G363,'Calc Avalanche'!G363,'Calc Snowball'!G363,'Calc Cashflow'!G363)</f>
        <v/>
      </c>
      <c r="K357" s="67">
        <f>CHOOSE(Plan!$K$5,'Calc Smart'!H363,'Calc Avalanche'!H363,'Calc Snowball'!H363,'Calc Cashflow'!H363)</f>
        <v/>
      </c>
      <c r="L357" s="67">
        <f>CHOOSE(Plan!$K$5,'Calc Smart'!I363,'Calc Avalanche'!I363,'Calc Snowball'!I363,'Calc Cashflow'!I363)</f>
        <v/>
      </c>
      <c r="M357" s="67">
        <f>CHOOSE(Plan!$K$5,'Calc Smart'!J363,'Calc Avalanche'!J363,'Calc Snowball'!J363,'Calc Cashflow'!J363)</f>
        <v/>
      </c>
      <c r="N357" s="67">
        <f>CHOOSE(Plan!$K$5,'Calc Smart'!K363,'Calc Avalanche'!K363,'Calc Snowball'!K363,'Calc Cashflow'!K363)</f>
        <v/>
      </c>
      <c r="O357" s="67">
        <f>CHOOSE(Plan!$K$5,'Calc Smart'!L363,'Calc Avalanche'!L363,'Calc Snowball'!L363,'Calc Cashflow'!L363)</f>
        <v/>
      </c>
      <c r="P357" s="67">
        <f>CHOOSE(Plan!$K$5,'Calc Smart'!M363,'Calc Avalanche'!M363,'Calc Snowball'!M363,'Calc Cashflow'!M363)</f>
        <v/>
      </c>
      <c r="Q357" s="67">
        <f>CHOOSE(Plan!$K$5,'Calc Smart'!N363,'Calc Avalanche'!N363,'Calc Snowball'!N363,'Calc Cashflow'!N363)</f>
        <v/>
      </c>
    </row>
    <row r="358">
      <c r="B358" s="64">
        <f>EDATE(Plan!$C$6,352)</f>
        <v/>
      </c>
      <c r="C358" s="31">
        <f>CHOOSE(Plan!$K$5,'Calc Smart'!AE364,'Calc Avalanche'!AE364,'Calc Snowball'!AE364,'Calc Cashflow'!AE364)</f>
        <v/>
      </c>
      <c r="D358" s="31">
        <f>CHOOSE(Plan!$K$5,'Calc Smart'!AD364,'Calc Avalanche'!AD364,'Calc Snowball'!AD364,'Calc Cashflow'!AD364)</f>
        <v/>
      </c>
      <c r="E358" s="40">
        <f>CHOOSE(Plan!$K$5,COUNTIF('Calc Smart'!C364:N364,"&gt;0"),COUNTIF('Calc Avalanche'!C364:N364,"&gt;0"),COUNTIF('Calc Snowball'!C364:N364,"&gt;0"),COUNTIF('Calc Cashflow'!C364:N364,"&gt;0"))</f>
        <v/>
      </c>
      <c r="F358" s="65">
        <f>CHOOSE(Plan!$K$5,'Calc Smart'!C364,'Calc Avalanche'!C364,'Calc Snowball'!C364,'Calc Cashflow'!C364)</f>
        <v/>
      </c>
      <c r="G358" s="65">
        <f>CHOOSE(Plan!$K$5,'Calc Smart'!D364,'Calc Avalanche'!D364,'Calc Snowball'!D364,'Calc Cashflow'!D364)</f>
        <v/>
      </c>
      <c r="H358" s="65">
        <f>CHOOSE(Plan!$K$5,'Calc Smart'!E364,'Calc Avalanche'!E364,'Calc Snowball'!E364,'Calc Cashflow'!E364)</f>
        <v/>
      </c>
      <c r="I358" s="65">
        <f>CHOOSE(Plan!$K$5,'Calc Smart'!F364,'Calc Avalanche'!F364,'Calc Snowball'!F364,'Calc Cashflow'!F364)</f>
        <v/>
      </c>
      <c r="J358" s="65">
        <f>CHOOSE(Plan!$K$5,'Calc Smart'!G364,'Calc Avalanche'!G364,'Calc Snowball'!G364,'Calc Cashflow'!G364)</f>
        <v/>
      </c>
      <c r="K358" s="65">
        <f>CHOOSE(Plan!$K$5,'Calc Smart'!H364,'Calc Avalanche'!H364,'Calc Snowball'!H364,'Calc Cashflow'!H364)</f>
        <v/>
      </c>
      <c r="L358" s="65">
        <f>CHOOSE(Plan!$K$5,'Calc Smart'!I364,'Calc Avalanche'!I364,'Calc Snowball'!I364,'Calc Cashflow'!I364)</f>
        <v/>
      </c>
      <c r="M358" s="65">
        <f>CHOOSE(Plan!$K$5,'Calc Smart'!J364,'Calc Avalanche'!J364,'Calc Snowball'!J364,'Calc Cashflow'!J364)</f>
        <v/>
      </c>
      <c r="N358" s="65">
        <f>CHOOSE(Plan!$K$5,'Calc Smart'!K364,'Calc Avalanche'!K364,'Calc Snowball'!K364,'Calc Cashflow'!K364)</f>
        <v/>
      </c>
      <c r="O358" s="65">
        <f>CHOOSE(Plan!$K$5,'Calc Smart'!L364,'Calc Avalanche'!L364,'Calc Snowball'!L364,'Calc Cashflow'!L364)</f>
        <v/>
      </c>
      <c r="P358" s="65">
        <f>CHOOSE(Plan!$K$5,'Calc Smart'!M364,'Calc Avalanche'!M364,'Calc Snowball'!M364,'Calc Cashflow'!M364)</f>
        <v/>
      </c>
      <c r="Q358" s="65">
        <f>CHOOSE(Plan!$K$5,'Calc Smart'!N364,'Calc Avalanche'!N364,'Calc Snowball'!N364,'Calc Cashflow'!N364)</f>
        <v/>
      </c>
    </row>
    <row r="359">
      <c r="B359" s="66">
        <f>EDATE(Plan!$C$6,353)</f>
        <v/>
      </c>
      <c r="C359" s="32">
        <f>CHOOSE(Plan!$K$5,'Calc Smart'!AE365,'Calc Avalanche'!AE365,'Calc Snowball'!AE365,'Calc Cashflow'!AE365)</f>
        <v/>
      </c>
      <c r="D359" s="32">
        <f>CHOOSE(Plan!$K$5,'Calc Smart'!AD365,'Calc Avalanche'!AD365,'Calc Snowball'!AD365,'Calc Cashflow'!AD365)</f>
        <v/>
      </c>
      <c r="E359" s="43">
        <f>CHOOSE(Plan!$K$5,COUNTIF('Calc Smart'!C365:N365,"&gt;0"),COUNTIF('Calc Avalanche'!C365:N365,"&gt;0"),COUNTIF('Calc Snowball'!C365:N365,"&gt;0"),COUNTIF('Calc Cashflow'!C365:N365,"&gt;0"))</f>
        <v/>
      </c>
      <c r="F359" s="67">
        <f>CHOOSE(Plan!$K$5,'Calc Smart'!C365,'Calc Avalanche'!C365,'Calc Snowball'!C365,'Calc Cashflow'!C365)</f>
        <v/>
      </c>
      <c r="G359" s="67">
        <f>CHOOSE(Plan!$K$5,'Calc Smart'!D365,'Calc Avalanche'!D365,'Calc Snowball'!D365,'Calc Cashflow'!D365)</f>
        <v/>
      </c>
      <c r="H359" s="67">
        <f>CHOOSE(Plan!$K$5,'Calc Smart'!E365,'Calc Avalanche'!E365,'Calc Snowball'!E365,'Calc Cashflow'!E365)</f>
        <v/>
      </c>
      <c r="I359" s="67">
        <f>CHOOSE(Plan!$K$5,'Calc Smart'!F365,'Calc Avalanche'!F365,'Calc Snowball'!F365,'Calc Cashflow'!F365)</f>
        <v/>
      </c>
      <c r="J359" s="67">
        <f>CHOOSE(Plan!$K$5,'Calc Smart'!G365,'Calc Avalanche'!G365,'Calc Snowball'!G365,'Calc Cashflow'!G365)</f>
        <v/>
      </c>
      <c r="K359" s="67">
        <f>CHOOSE(Plan!$K$5,'Calc Smart'!H365,'Calc Avalanche'!H365,'Calc Snowball'!H365,'Calc Cashflow'!H365)</f>
        <v/>
      </c>
      <c r="L359" s="67">
        <f>CHOOSE(Plan!$K$5,'Calc Smart'!I365,'Calc Avalanche'!I365,'Calc Snowball'!I365,'Calc Cashflow'!I365)</f>
        <v/>
      </c>
      <c r="M359" s="67">
        <f>CHOOSE(Plan!$K$5,'Calc Smart'!J365,'Calc Avalanche'!J365,'Calc Snowball'!J365,'Calc Cashflow'!J365)</f>
        <v/>
      </c>
      <c r="N359" s="67">
        <f>CHOOSE(Plan!$K$5,'Calc Smart'!K365,'Calc Avalanche'!K365,'Calc Snowball'!K365,'Calc Cashflow'!K365)</f>
        <v/>
      </c>
      <c r="O359" s="67">
        <f>CHOOSE(Plan!$K$5,'Calc Smart'!L365,'Calc Avalanche'!L365,'Calc Snowball'!L365,'Calc Cashflow'!L365)</f>
        <v/>
      </c>
      <c r="P359" s="67">
        <f>CHOOSE(Plan!$K$5,'Calc Smart'!M365,'Calc Avalanche'!M365,'Calc Snowball'!M365,'Calc Cashflow'!M365)</f>
        <v/>
      </c>
      <c r="Q359" s="67">
        <f>CHOOSE(Plan!$K$5,'Calc Smart'!N365,'Calc Avalanche'!N365,'Calc Snowball'!N365,'Calc Cashflow'!N365)</f>
        <v/>
      </c>
    </row>
    <row r="360">
      <c r="B360" s="64">
        <f>EDATE(Plan!$C$6,354)</f>
        <v/>
      </c>
      <c r="C360" s="31">
        <f>CHOOSE(Plan!$K$5,'Calc Smart'!AE366,'Calc Avalanche'!AE366,'Calc Snowball'!AE366,'Calc Cashflow'!AE366)</f>
        <v/>
      </c>
      <c r="D360" s="31">
        <f>CHOOSE(Plan!$K$5,'Calc Smart'!AD366,'Calc Avalanche'!AD366,'Calc Snowball'!AD366,'Calc Cashflow'!AD366)</f>
        <v/>
      </c>
      <c r="E360" s="40">
        <f>CHOOSE(Plan!$K$5,COUNTIF('Calc Smart'!C366:N366,"&gt;0"),COUNTIF('Calc Avalanche'!C366:N366,"&gt;0"),COUNTIF('Calc Snowball'!C366:N366,"&gt;0"),COUNTIF('Calc Cashflow'!C366:N366,"&gt;0"))</f>
        <v/>
      </c>
      <c r="F360" s="65">
        <f>CHOOSE(Plan!$K$5,'Calc Smart'!C366,'Calc Avalanche'!C366,'Calc Snowball'!C366,'Calc Cashflow'!C366)</f>
        <v/>
      </c>
      <c r="G360" s="65">
        <f>CHOOSE(Plan!$K$5,'Calc Smart'!D366,'Calc Avalanche'!D366,'Calc Snowball'!D366,'Calc Cashflow'!D366)</f>
        <v/>
      </c>
      <c r="H360" s="65">
        <f>CHOOSE(Plan!$K$5,'Calc Smart'!E366,'Calc Avalanche'!E366,'Calc Snowball'!E366,'Calc Cashflow'!E366)</f>
        <v/>
      </c>
      <c r="I360" s="65">
        <f>CHOOSE(Plan!$K$5,'Calc Smart'!F366,'Calc Avalanche'!F366,'Calc Snowball'!F366,'Calc Cashflow'!F366)</f>
        <v/>
      </c>
      <c r="J360" s="65">
        <f>CHOOSE(Plan!$K$5,'Calc Smart'!G366,'Calc Avalanche'!G366,'Calc Snowball'!G366,'Calc Cashflow'!G366)</f>
        <v/>
      </c>
      <c r="K360" s="65">
        <f>CHOOSE(Plan!$K$5,'Calc Smart'!H366,'Calc Avalanche'!H366,'Calc Snowball'!H366,'Calc Cashflow'!H366)</f>
        <v/>
      </c>
      <c r="L360" s="65">
        <f>CHOOSE(Plan!$K$5,'Calc Smart'!I366,'Calc Avalanche'!I366,'Calc Snowball'!I366,'Calc Cashflow'!I366)</f>
        <v/>
      </c>
      <c r="M360" s="65">
        <f>CHOOSE(Plan!$K$5,'Calc Smart'!J366,'Calc Avalanche'!J366,'Calc Snowball'!J366,'Calc Cashflow'!J366)</f>
        <v/>
      </c>
      <c r="N360" s="65">
        <f>CHOOSE(Plan!$K$5,'Calc Smart'!K366,'Calc Avalanche'!K366,'Calc Snowball'!K366,'Calc Cashflow'!K366)</f>
        <v/>
      </c>
      <c r="O360" s="65">
        <f>CHOOSE(Plan!$K$5,'Calc Smart'!L366,'Calc Avalanche'!L366,'Calc Snowball'!L366,'Calc Cashflow'!L366)</f>
        <v/>
      </c>
      <c r="P360" s="65">
        <f>CHOOSE(Plan!$K$5,'Calc Smart'!M366,'Calc Avalanche'!M366,'Calc Snowball'!M366,'Calc Cashflow'!M366)</f>
        <v/>
      </c>
      <c r="Q360" s="65">
        <f>CHOOSE(Plan!$K$5,'Calc Smart'!N366,'Calc Avalanche'!N366,'Calc Snowball'!N366,'Calc Cashflow'!N366)</f>
        <v/>
      </c>
    </row>
    <row r="361">
      <c r="B361" s="66">
        <f>EDATE(Plan!$C$6,355)</f>
        <v/>
      </c>
      <c r="C361" s="32">
        <f>CHOOSE(Plan!$K$5,'Calc Smart'!AE367,'Calc Avalanche'!AE367,'Calc Snowball'!AE367,'Calc Cashflow'!AE367)</f>
        <v/>
      </c>
      <c r="D361" s="32">
        <f>CHOOSE(Plan!$K$5,'Calc Smart'!AD367,'Calc Avalanche'!AD367,'Calc Snowball'!AD367,'Calc Cashflow'!AD367)</f>
        <v/>
      </c>
      <c r="E361" s="43">
        <f>CHOOSE(Plan!$K$5,COUNTIF('Calc Smart'!C367:N367,"&gt;0"),COUNTIF('Calc Avalanche'!C367:N367,"&gt;0"),COUNTIF('Calc Snowball'!C367:N367,"&gt;0"),COUNTIF('Calc Cashflow'!C367:N367,"&gt;0"))</f>
        <v/>
      </c>
      <c r="F361" s="67">
        <f>CHOOSE(Plan!$K$5,'Calc Smart'!C367,'Calc Avalanche'!C367,'Calc Snowball'!C367,'Calc Cashflow'!C367)</f>
        <v/>
      </c>
      <c r="G361" s="67">
        <f>CHOOSE(Plan!$K$5,'Calc Smart'!D367,'Calc Avalanche'!D367,'Calc Snowball'!D367,'Calc Cashflow'!D367)</f>
        <v/>
      </c>
      <c r="H361" s="67">
        <f>CHOOSE(Plan!$K$5,'Calc Smart'!E367,'Calc Avalanche'!E367,'Calc Snowball'!E367,'Calc Cashflow'!E367)</f>
        <v/>
      </c>
      <c r="I361" s="67">
        <f>CHOOSE(Plan!$K$5,'Calc Smart'!F367,'Calc Avalanche'!F367,'Calc Snowball'!F367,'Calc Cashflow'!F367)</f>
        <v/>
      </c>
      <c r="J361" s="67">
        <f>CHOOSE(Plan!$K$5,'Calc Smart'!G367,'Calc Avalanche'!G367,'Calc Snowball'!G367,'Calc Cashflow'!G367)</f>
        <v/>
      </c>
      <c r="K361" s="67">
        <f>CHOOSE(Plan!$K$5,'Calc Smart'!H367,'Calc Avalanche'!H367,'Calc Snowball'!H367,'Calc Cashflow'!H367)</f>
        <v/>
      </c>
      <c r="L361" s="67">
        <f>CHOOSE(Plan!$K$5,'Calc Smart'!I367,'Calc Avalanche'!I367,'Calc Snowball'!I367,'Calc Cashflow'!I367)</f>
        <v/>
      </c>
      <c r="M361" s="67">
        <f>CHOOSE(Plan!$K$5,'Calc Smart'!J367,'Calc Avalanche'!J367,'Calc Snowball'!J367,'Calc Cashflow'!J367)</f>
        <v/>
      </c>
      <c r="N361" s="67">
        <f>CHOOSE(Plan!$K$5,'Calc Smart'!K367,'Calc Avalanche'!K367,'Calc Snowball'!K367,'Calc Cashflow'!K367)</f>
        <v/>
      </c>
      <c r="O361" s="67">
        <f>CHOOSE(Plan!$K$5,'Calc Smart'!L367,'Calc Avalanche'!L367,'Calc Snowball'!L367,'Calc Cashflow'!L367)</f>
        <v/>
      </c>
      <c r="P361" s="67">
        <f>CHOOSE(Plan!$K$5,'Calc Smart'!M367,'Calc Avalanche'!M367,'Calc Snowball'!M367,'Calc Cashflow'!M367)</f>
        <v/>
      </c>
      <c r="Q361" s="67">
        <f>CHOOSE(Plan!$K$5,'Calc Smart'!N367,'Calc Avalanche'!N367,'Calc Snowball'!N367,'Calc Cashflow'!N367)</f>
        <v/>
      </c>
    </row>
    <row r="362">
      <c r="B362" s="64">
        <f>EDATE(Plan!$C$6,356)</f>
        <v/>
      </c>
      <c r="C362" s="31">
        <f>CHOOSE(Plan!$K$5,'Calc Smart'!AE368,'Calc Avalanche'!AE368,'Calc Snowball'!AE368,'Calc Cashflow'!AE368)</f>
        <v/>
      </c>
      <c r="D362" s="31">
        <f>CHOOSE(Plan!$K$5,'Calc Smart'!AD368,'Calc Avalanche'!AD368,'Calc Snowball'!AD368,'Calc Cashflow'!AD368)</f>
        <v/>
      </c>
      <c r="E362" s="40">
        <f>CHOOSE(Plan!$K$5,COUNTIF('Calc Smart'!C368:N368,"&gt;0"),COUNTIF('Calc Avalanche'!C368:N368,"&gt;0"),COUNTIF('Calc Snowball'!C368:N368,"&gt;0"),COUNTIF('Calc Cashflow'!C368:N368,"&gt;0"))</f>
        <v/>
      </c>
      <c r="F362" s="65">
        <f>CHOOSE(Plan!$K$5,'Calc Smart'!C368,'Calc Avalanche'!C368,'Calc Snowball'!C368,'Calc Cashflow'!C368)</f>
        <v/>
      </c>
      <c r="G362" s="65">
        <f>CHOOSE(Plan!$K$5,'Calc Smart'!D368,'Calc Avalanche'!D368,'Calc Snowball'!D368,'Calc Cashflow'!D368)</f>
        <v/>
      </c>
      <c r="H362" s="65">
        <f>CHOOSE(Plan!$K$5,'Calc Smart'!E368,'Calc Avalanche'!E368,'Calc Snowball'!E368,'Calc Cashflow'!E368)</f>
        <v/>
      </c>
      <c r="I362" s="65">
        <f>CHOOSE(Plan!$K$5,'Calc Smart'!F368,'Calc Avalanche'!F368,'Calc Snowball'!F368,'Calc Cashflow'!F368)</f>
        <v/>
      </c>
      <c r="J362" s="65">
        <f>CHOOSE(Plan!$K$5,'Calc Smart'!G368,'Calc Avalanche'!G368,'Calc Snowball'!G368,'Calc Cashflow'!G368)</f>
        <v/>
      </c>
      <c r="K362" s="65">
        <f>CHOOSE(Plan!$K$5,'Calc Smart'!H368,'Calc Avalanche'!H368,'Calc Snowball'!H368,'Calc Cashflow'!H368)</f>
        <v/>
      </c>
      <c r="L362" s="65">
        <f>CHOOSE(Plan!$K$5,'Calc Smart'!I368,'Calc Avalanche'!I368,'Calc Snowball'!I368,'Calc Cashflow'!I368)</f>
        <v/>
      </c>
      <c r="M362" s="65">
        <f>CHOOSE(Plan!$K$5,'Calc Smart'!J368,'Calc Avalanche'!J368,'Calc Snowball'!J368,'Calc Cashflow'!J368)</f>
        <v/>
      </c>
      <c r="N362" s="65">
        <f>CHOOSE(Plan!$K$5,'Calc Smart'!K368,'Calc Avalanche'!K368,'Calc Snowball'!K368,'Calc Cashflow'!K368)</f>
        <v/>
      </c>
      <c r="O362" s="65">
        <f>CHOOSE(Plan!$K$5,'Calc Smart'!L368,'Calc Avalanche'!L368,'Calc Snowball'!L368,'Calc Cashflow'!L368)</f>
        <v/>
      </c>
      <c r="P362" s="65">
        <f>CHOOSE(Plan!$K$5,'Calc Smart'!M368,'Calc Avalanche'!M368,'Calc Snowball'!M368,'Calc Cashflow'!M368)</f>
        <v/>
      </c>
      <c r="Q362" s="65">
        <f>CHOOSE(Plan!$K$5,'Calc Smart'!N368,'Calc Avalanche'!N368,'Calc Snowball'!N368,'Calc Cashflow'!N368)</f>
        <v/>
      </c>
    </row>
    <row r="363">
      <c r="B363" s="66">
        <f>EDATE(Plan!$C$6,357)</f>
        <v/>
      </c>
      <c r="C363" s="32">
        <f>CHOOSE(Plan!$K$5,'Calc Smart'!AE369,'Calc Avalanche'!AE369,'Calc Snowball'!AE369,'Calc Cashflow'!AE369)</f>
        <v/>
      </c>
      <c r="D363" s="32">
        <f>CHOOSE(Plan!$K$5,'Calc Smart'!AD369,'Calc Avalanche'!AD369,'Calc Snowball'!AD369,'Calc Cashflow'!AD369)</f>
        <v/>
      </c>
      <c r="E363" s="43">
        <f>CHOOSE(Plan!$K$5,COUNTIF('Calc Smart'!C369:N369,"&gt;0"),COUNTIF('Calc Avalanche'!C369:N369,"&gt;0"),COUNTIF('Calc Snowball'!C369:N369,"&gt;0"),COUNTIF('Calc Cashflow'!C369:N369,"&gt;0"))</f>
        <v/>
      </c>
      <c r="F363" s="67">
        <f>CHOOSE(Plan!$K$5,'Calc Smart'!C369,'Calc Avalanche'!C369,'Calc Snowball'!C369,'Calc Cashflow'!C369)</f>
        <v/>
      </c>
      <c r="G363" s="67">
        <f>CHOOSE(Plan!$K$5,'Calc Smart'!D369,'Calc Avalanche'!D369,'Calc Snowball'!D369,'Calc Cashflow'!D369)</f>
        <v/>
      </c>
      <c r="H363" s="67">
        <f>CHOOSE(Plan!$K$5,'Calc Smart'!E369,'Calc Avalanche'!E369,'Calc Snowball'!E369,'Calc Cashflow'!E369)</f>
        <v/>
      </c>
      <c r="I363" s="67">
        <f>CHOOSE(Plan!$K$5,'Calc Smart'!F369,'Calc Avalanche'!F369,'Calc Snowball'!F369,'Calc Cashflow'!F369)</f>
        <v/>
      </c>
      <c r="J363" s="67">
        <f>CHOOSE(Plan!$K$5,'Calc Smart'!G369,'Calc Avalanche'!G369,'Calc Snowball'!G369,'Calc Cashflow'!G369)</f>
        <v/>
      </c>
      <c r="K363" s="67">
        <f>CHOOSE(Plan!$K$5,'Calc Smart'!H369,'Calc Avalanche'!H369,'Calc Snowball'!H369,'Calc Cashflow'!H369)</f>
        <v/>
      </c>
      <c r="L363" s="67">
        <f>CHOOSE(Plan!$K$5,'Calc Smart'!I369,'Calc Avalanche'!I369,'Calc Snowball'!I369,'Calc Cashflow'!I369)</f>
        <v/>
      </c>
      <c r="M363" s="67">
        <f>CHOOSE(Plan!$K$5,'Calc Smart'!J369,'Calc Avalanche'!J369,'Calc Snowball'!J369,'Calc Cashflow'!J369)</f>
        <v/>
      </c>
      <c r="N363" s="67">
        <f>CHOOSE(Plan!$K$5,'Calc Smart'!K369,'Calc Avalanche'!K369,'Calc Snowball'!K369,'Calc Cashflow'!K369)</f>
        <v/>
      </c>
      <c r="O363" s="67">
        <f>CHOOSE(Plan!$K$5,'Calc Smart'!L369,'Calc Avalanche'!L369,'Calc Snowball'!L369,'Calc Cashflow'!L369)</f>
        <v/>
      </c>
      <c r="P363" s="67">
        <f>CHOOSE(Plan!$K$5,'Calc Smart'!M369,'Calc Avalanche'!M369,'Calc Snowball'!M369,'Calc Cashflow'!M369)</f>
        <v/>
      </c>
      <c r="Q363" s="67">
        <f>CHOOSE(Plan!$K$5,'Calc Smart'!N369,'Calc Avalanche'!N369,'Calc Snowball'!N369,'Calc Cashflow'!N369)</f>
        <v/>
      </c>
    </row>
    <row r="364">
      <c r="B364" s="64">
        <f>EDATE(Plan!$C$6,358)</f>
        <v/>
      </c>
      <c r="C364" s="31">
        <f>CHOOSE(Plan!$K$5,'Calc Smart'!AE370,'Calc Avalanche'!AE370,'Calc Snowball'!AE370,'Calc Cashflow'!AE370)</f>
        <v/>
      </c>
      <c r="D364" s="31">
        <f>CHOOSE(Plan!$K$5,'Calc Smart'!AD370,'Calc Avalanche'!AD370,'Calc Snowball'!AD370,'Calc Cashflow'!AD370)</f>
        <v/>
      </c>
      <c r="E364" s="40">
        <f>CHOOSE(Plan!$K$5,COUNTIF('Calc Smart'!C370:N370,"&gt;0"),COUNTIF('Calc Avalanche'!C370:N370,"&gt;0"),COUNTIF('Calc Snowball'!C370:N370,"&gt;0"),COUNTIF('Calc Cashflow'!C370:N370,"&gt;0"))</f>
        <v/>
      </c>
      <c r="F364" s="65">
        <f>CHOOSE(Plan!$K$5,'Calc Smart'!C370,'Calc Avalanche'!C370,'Calc Snowball'!C370,'Calc Cashflow'!C370)</f>
        <v/>
      </c>
      <c r="G364" s="65">
        <f>CHOOSE(Plan!$K$5,'Calc Smart'!D370,'Calc Avalanche'!D370,'Calc Snowball'!D370,'Calc Cashflow'!D370)</f>
        <v/>
      </c>
      <c r="H364" s="65">
        <f>CHOOSE(Plan!$K$5,'Calc Smart'!E370,'Calc Avalanche'!E370,'Calc Snowball'!E370,'Calc Cashflow'!E370)</f>
        <v/>
      </c>
      <c r="I364" s="65">
        <f>CHOOSE(Plan!$K$5,'Calc Smart'!F370,'Calc Avalanche'!F370,'Calc Snowball'!F370,'Calc Cashflow'!F370)</f>
        <v/>
      </c>
      <c r="J364" s="65">
        <f>CHOOSE(Plan!$K$5,'Calc Smart'!G370,'Calc Avalanche'!G370,'Calc Snowball'!G370,'Calc Cashflow'!G370)</f>
        <v/>
      </c>
      <c r="K364" s="65">
        <f>CHOOSE(Plan!$K$5,'Calc Smart'!H370,'Calc Avalanche'!H370,'Calc Snowball'!H370,'Calc Cashflow'!H370)</f>
        <v/>
      </c>
      <c r="L364" s="65">
        <f>CHOOSE(Plan!$K$5,'Calc Smart'!I370,'Calc Avalanche'!I370,'Calc Snowball'!I370,'Calc Cashflow'!I370)</f>
        <v/>
      </c>
      <c r="M364" s="65">
        <f>CHOOSE(Plan!$K$5,'Calc Smart'!J370,'Calc Avalanche'!J370,'Calc Snowball'!J370,'Calc Cashflow'!J370)</f>
        <v/>
      </c>
      <c r="N364" s="65">
        <f>CHOOSE(Plan!$K$5,'Calc Smart'!K370,'Calc Avalanche'!K370,'Calc Snowball'!K370,'Calc Cashflow'!K370)</f>
        <v/>
      </c>
      <c r="O364" s="65">
        <f>CHOOSE(Plan!$K$5,'Calc Smart'!L370,'Calc Avalanche'!L370,'Calc Snowball'!L370,'Calc Cashflow'!L370)</f>
        <v/>
      </c>
      <c r="P364" s="65">
        <f>CHOOSE(Plan!$K$5,'Calc Smart'!M370,'Calc Avalanche'!M370,'Calc Snowball'!M370,'Calc Cashflow'!M370)</f>
        <v/>
      </c>
      <c r="Q364" s="65">
        <f>CHOOSE(Plan!$K$5,'Calc Smart'!N370,'Calc Avalanche'!N370,'Calc Snowball'!N370,'Calc Cashflow'!N370)</f>
        <v/>
      </c>
    </row>
    <row r="365">
      <c r="B365" s="66">
        <f>EDATE(Plan!$C$6,359)</f>
        <v/>
      </c>
      <c r="C365" s="32">
        <f>CHOOSE(Plan!$K$5,'Calc Smart'!AE371,'Calc Avalanche'!AE371,'Calc Snowball'!AE371,'Calc Cashflow'!AE371)</f>
        <v/>
      </c>
      <c r="D365" s="32">
        <f>CHOOSE(Plan!$K$5,'Calc Smart'!AD371,'Calc Avalanche'!AD371,'Calc Snowball'!AD371,'Calc Cashflow'!AD371)</f>
        <v/>
      </c>
      <c r="E365" s="43">
        <f>CHOOSE(Plan!$K$5,COUNTIF('Calc Smart'!C371:N371,"&gt;0"),COUNTIF('Calc Avalanche'!C371:N371,"&gt;0"),COUNTIF('Calc Snowball'!C371:N371,"&gt;0"),COUNTIF('Calc Cashflow'!C371:N371,"&gt;0"))</f>
        <v/>
      </c>
      <c r="F365" s="67">
        <f>CHOOSE(Plan!$K$5,'Calc Smart'!C371,'Calc Avalanche'!C371,'Calc Snowball'!C371,'Calc Cashflow'!C371)</f>
        <v/>
      </c>
      <c r="G365" s="67">
        <f>CHOOSE(Plan!$K$5,'Calc Smart'!D371,'Calc Avalanche'!D371,'Calc Snowball'!D371,'Calc Cashflow'!D371)</f>
        <v/>
      </c>
      <c r="H365" s="67">
        <f>CHOOSE(Plan!$K$5,'Calc Smart'!E371,'Calc Avalanche'!E371,'Calc Snowball'!E371,'Calc Cashflow'!E371)</f>
        <v/>
      </c>
      <c r="I365" s="67">
        <f>CHOOSE(Plan!$K$5,'Calc Smart'!F371,'Calc Avalanche'!F371,'Calc Snowball'!F371,'Calc Cashflow'!F371)</f>
        <v/>
      </c>
      <c r="J365" s="67">
        <f>CHOOSE(Plan!$K$5,'Calc Smart'!G371,'Calc Avalanche'!G371,'Calc Snowball'!G371,'Calc Cashflow'!G371)</f>
        <v/>
      </c>
      <c r="K365" s="67">
        <f>CHOOSE(Plan!$K$5,'Calc Smart'!H371,'Calc Avalanche'!H371,'Calc Snowball'!H371,'Calc Cashflow'!H371)</f>
        <v/>
      </c>
      <c r="L365" s="67">
        <f>CHOOSE(Plan!$K$5,'Calc Smart'!I371,'Calc Avalanche'!I371,'Calc Snowball'!I371,'Calc Cashflow'!I371)</f>
        <v/>
      </c>
      <c r="M365" s="67">
        <f>CHOOSE(Plan!$K$5,'Calc Smart'!J371,'Calc Avalanche'!J371,'Calc Snowball'!J371,'Calc Cashflow'!J371)</f>
        <v/>
      </c>
      <c r="N365" s="67">
        <f>CHOOSE(Plan!$K$5,'Calc Smart'!K371,'Calc Avalanche'!K371,'Calc Snowball'!K371,'Calc Cashflow'!K371)</f>
        <v/>
      </c>
      <c r="O365" s="67">
        <f>CHOOSE(Plan!$K$5,'Calc Smart'!L371,'Calc Avalanche'!L371,'Calc Snowball'!L371,'Calc Cashflow'!L371)</f>
        <v/>
      </c>
      <c r="P365" s="67">
        <f>CHOOSE(Plan!$K$5,'Calc Smart'!M371,'Calc Avalanche'!M371,'Calc Snowball'!M371,'Calc Cashflow'!M371)</f>
        <v/>
      </c>
      <c r="Q365" s="67">
        <f>CHOOSE(Plan!$K$5,'Calc Smart'!N371,'Calc Avalanche'!N371,'Calc Snowball'!N371,'Calc Cashflow'!N371)</f>
        <v/>
      </c>
    </row>
  </sheetData>
  <conditionalFormatting sqref="D6:D365">
    <cfRule type="cellIs" priority="1" operator="lessThanOrEqual" dxfId="0">
      <formula>0.005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Debts'!$AA$7="","",'My Debts'!$AA$7)</f>
        <v/>
      </c>
      <c r="D2">
        <f>IF('My Debts'!$AA$8="","",'My Debts'!$AA$8)</f>
        <v/>
      </c>
      <c r="E2">
        <f>IF('My Debts'!$AA$9="","",'My Debts'!$AA$9)</f>
        <v/>
      </c>
      <c r="F2">
        <f>IF('My Debts'!$AA$10="","",'My Debts'!$AA$10)</f>
        <v/>
      </c>
      <c r="G2">
        <f>IF('My Debts'!$AA$11="","",'My Debts'!$AA$11)</f>
        <v/>
      </c>
      <c r="H2">
        <f>IF('My Debts'!$AA$12="","",'My Debts'!$AA$12)</f>
        <v/>
      </c>
      <c r="I2">
        <f>IF('My Debts'!$AA$13="","",'My Debts'!$AA$13)</f>
        <v/>
      </c>
      <c r="J2">
        <f>IF('My Debts'!$AA$14="","",'My Debts'!$AA$14)</f>
        <v/>
      </c>
      <c r="K2">
        <f>IF('My Debts'!$AA$15="","",'My Debts'!$AA$15)</f>
        <v/>
      </c>
      <c r="L2">
        <f>IF('My Debts'!$AA$16="","",'My Debts'!$AA$16)</f>
        <v/>
      </c>
      <c r="M2">
        <f>IF('My Debts'!$AA$17="","",'My Debts'!$AA$17)</f>
        <v/>
      </c>
      <c r="N2">
        <f>IF('My Debts'!$AA$18="","",'My Debts'!$AA$18)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Debts'!$AB$7="","",'My Debts'!$AB$7)</f>
        <v/>
      </c>
      <c r="D2">
        <f>IF('My Debts'!$AB$8="","",'My Debts'!$AB$8)</f>
        <v/>
      </c>
      <c r="E2">
        <f>IF('My Debts'!$AB$9="","",'My Debts'!$AB$9)</f>
        <v/>
      </c>
      <c r="F2">
        <f>IF('My Debts'!$AB$10="","",'My Debts'!$AB$10)</f>
        <v/>
      </c>
      <c r="G2">
        <f>IF('My Debts'!$AB$11="","",'My Debts'!$AB$11)</f>
        <v/>
      </c>
      <c r="H2">
        <f>IF('My Debts'!$AB$12="","",'My Debts'!$AB$12)</f>
        <v/>
      </c>
      <c r="I2">
        <f>IF('My Debts'!$AB$13="","",'My Debts'!$AB$13)</f>
        <v/>
      </c>
      <c r="J2">
        <f>IF('My Debts'!$AB$14="","",'My Debts'!$AB$14)</f>
        <v/>
      </c>
      <c r="K2">
        <f>IF('My Debts'!$AB$15="","",'My Debts'!$AB$15)</f>
        <v/>
      </c>
      <c r="L2">
        <f>IF('My Debts'!$AB$16="","",'My Debts'!$AB$16)</f>
        <v/>
      </c>
      <c r="M2">
        <f>IF('My Debts'!$AB$17="","",'My Debts'!$AB$17)</f>
        <v/>
      </c>
      <c r="N2">
        <f>IF('My Debts'!$AB$18="","",'My Debts'!$AB$18)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Debts'!$AC$7="","",'My Debts'!$AC$7)</f>
        <v/>
      </c>
      <c r="D2">
        <f>IF('My Debts'!$AC$8="","",'My Debts'!$AC$8)</f>
        <v/>
      </c>
      <c r="E2">
        <f>IF('My Debts'!$AC$9="","",'My Debts'!$AC$9)</f>
        <v/>
      </c>
      <c r="F2">
        <f>IF('My Debts'!$AC$10="","",'My Debts'!$AC$10)</f>
        <v/>
      </c>
      <c r="G2">
        <f>IF('My Debts'!$AC$11="","",'My Debts'!$AC$11)</f>
        <v/>
      </c>
      <c r="H2">
        <f>IF('My Debts'!$AC$12="","",'My Debts'!$AC$12)</f>
        <v/>
      </c>
      <c r="I2">
        <f>IF('My Debts'!$AC$13="","",'My Debts'!$AC$13)</f>
        <v/>
      </c>
      <c r="J2">
        <f>IF('My Debts'!$AC$14="","",'My Debts'!$AC$14)</f>
        <v/>
      </c>
      <c r="K2">
        <f>IF('My Debts'!$AC$15="","",'My Debts'!$AC$15)</f>
        <v/>
      </c>
      <c r="L2">
        <f>IF('My Debts'!$AC$16="","",'My Debts'!$AC$16)</f>
        <v/>
      </c>
      <c r="M2">
        <f>IF('My Debts'!$AC$17="","",'My Debts'!$AC$17)</f>
        <v/>
      </c>
      <c r="N2">
        <f>IF('My Debts'!$AC$18="","",'My Debts'!$AC$18)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Debts'!$AD$7="","",'My Debts'!$AD$7)</f>
        <v/>
      </c>
      <c r="D2">
        <f>IF('My Debts'!$AD$8="","",'My Debts'!$AD$8)</f>
        <v/>
      </c>
      <c r="E2">
        <f>IF('My Debts'!$AD$9="","",'My Debts'!$AD$9)</f>
        <v/>
      </c>
      <c r="F2">
        <f>IF('My Debts'!$AD$10="","",'My Debts'!$AD$10)</f>
        <v/>
      </c>
      <c r="G2">
        <f>IF('My Debts'!$AD$11="","",'My Debts'!$AD$11)</f>
        <v/>
      </c>
      <c r="H2">
        <f>IF('My Debts'!$AD$12="","",'My Debts'!$AD$12)</f>
        <v/>
      </c>
      <c r="I2">
        <f>IF('My Debts'!$AD$13="","",'My Debts'!$AD$13)</f>
        <v/>
      </c>
      <c r="J2">
        <f>IF('My Debts'!$AD$14="","",'My Debts'!$AD$14)</f>
        <v/>
      </c>
      <c r="K2">
        <f>IF('My Debts'!$AD$15="","",'My Debts'!$AD$15)</f>
        <v/>
      </c>
      <c r="L2">
        <f>IF('My Debts'!$AD$16="","",'My Debts'!$AD$16)</f>
        <v/>
      </c>
      <c r="M2">
        <f>IF('My Debts'!$AD$17="","",'My Debts'!$AD$17)</f>
        <v/>
      </c>
      <c r="N2">
        <f>IF('My Debts'!$AD$18="","",'My Debts'!$AD$18)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2026-10-05T07:55:40Z</dcterms:created>
  <dcterms:modified xsi:type="dcterms:W3CDTF">2026-10-05T07:55:42Z</dcterms:modified>
</cp:coreProperties>
</file>