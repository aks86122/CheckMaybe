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How to Use" sheetId="2" state="visible" r:id="rId2"/>
    <sheet name="Settings" sheetId="3" state="visible" r:id="rId3"/>
    <sheet name="Gift List" sheetId="4" state="visible" r:id="rId4"/>
    <sheet name="Holiday Payments" sheetId="5" state="visible" r:id="rId5"/>
    <sheet name="Free Trials" sheetId="6" state="visible" r:id="rId6"/>
    <sheet name="Deal Check" sheetId="7" state="visible" r:id="rId7"/>
    <sheet name="Chart Data" sheetId="8" state="visible" r:id="rId8"/>
  </sheets>
  <definedNames>
    <definedName name="_xlnm._FilterDatabase" localSheetId="3" hidden="1">'Gift List'!$B$5:$K$55</definedName>
    <definedName name="_xlnm._FilterDatabase" localSheetId="4" hidden="1">'Holiday Payments'!$B$5:$Q$25</definedName>
    <definedName name="_xlnm._FilterDatabase" localSheetId="5" hidden="1">'Free Trials'!$B$5:$L$25</definedName>
    <definedName name="_xlnm._FilterDatabase" localSheetId="6" hidden="1">'Deal Check'!$B$5:$P$25</definedName>
  </definedNames>
  <calcPr calcId="124519" fullCalcOnLoad="1"/>
</workbook>
</file>

<file path=xl/styles.xml><?xml version="1.0" encoding="utf-8"?>
<styleSheet xmlns="http://schemas.openxmlformats.org/spreadsheetml/2006/main">
  <numFmts count="9">
    <numFmt numFmtId="164" formatCode="$#,##0.00;($#,##0.00);&quot;-&quot;"/>
    <numFmt numFmtId="165" formatCode="yyyy-mm-dd"/>
    <numFmt numFmtId="166" formatCode="mmm yyyy"/>
    <numFmt numFmtId="167" formatCode="0.0%;-0.0%;&quot;-&quot;"/>
    <numFmt numFmtId="168" formatCode="mmm d, yyyy"/>
    <numFmt numFmtId="169" formatCode="0.0%"/>
    <numFmt numFmtId="170" formatCode="[=0]&quot;Today&quot;;[=1]&quot;Tomorrow&quot;;0&quot; days&quot;"/>
    <numFmt numFmtId="171" formatCode="dddd, mmm d, yyyy"/>
    <numFmt numFmtId="172" formatCode="mmm d"/>
  </numFmts>
  <fonts count="25">
    <font>
      <name val="Calibri"/>
      <family val="2"/>
      <color theme="1"/>
      <sz val="11"/>
      <scheme val="minor"/>
    </font>
    <font>
      <name val="Arial"/>
      <b val="1"/>
      <strike val="0"/>
      <color rgb="00F3EFE4"/>
      <sz val="18"/>
    </font>
    <font>
      <name val="Arial"/>
      <i val="1"/>
      <strike val="0"/>
      <color rgb="00A7B2A3"/>
      <sz val="10"/>
    </font>
    <font>
      <name val="Arial"/>
      <b val="1"/>
      <strike val="0"/>
      <color rgb="00E0B05A"/>
      <sz val="8"/>
    </font>
    <font>
      <name val="Arial"/>
      <b val="1"/>
      <strike val="0"/>
      <color rgb="00A7B2A3"/>
      <sz val="8"/>
    </font>
    <font>
      <name val="Arial"/>
      <strike val="0"/>
      <color rgb="00F3EFE4"/>
      <sz val="10"/>
    </font>
    <font>
      <name val="Arial"/>
      <strike val="0"/>
      <color rgb="00E0B05A"/>
      <sz val="10"/>
    </font>
    <font>
      <name val="Arial"/>
      <i val="1"/>
      <strike val="0"/>
      <color rgb="00A7B2A3"/>
      <sz val="9"/>
    </font>
    <font>
      <name val="Arial"/>
      <strike val="0"/>
      <color rgb="00A7B2A3"/>
      <sz val="10"/>
    </font>
    <font>
      <name val="Arial"/>
      <i val="1"/>
      <strike val="0"/>
      <color rgb="00A7B2A3"/>
      <sz val="8"/>
    </font>
    <font>
      <name val="Arial"/>
      <b val="1"/>
      <strike val="0"/>
      <color rgb="00E2687B"/>
      <sz val="8"/>
    </font>
    <font>
      <name val="Arial"/>
      <b val="1"/>
      <strike val="0"/>
      <color rgb="00F3EFE4"/>
      <sz val="10"/>
    </font>
    <font>
      <name val="Arial"/>
      <b val="1"/>
      <strike val="0"/>
      <color rgb="00A7B2A3"/>
      <sz val="9"/>
    </font>
    <font>
      <name val="Arial"/>
      <b val="1"/>
      <strike val="0"/>
      <color rgb="00E0B05A"/>
      <sz val="22"/>
    </font>
    <font>
      <name val="Arial"/>
      <b val="1"/>
      <strike val="0"/>
      <color rgb="00F3EFE4"/>
      <sz val="11"/>
    </font>
    <font>
      <name val="Arial"/>
      <b val="1"/>
      <strike val="0"/>
      <color rgb="00F3EFE4"/>
      <sz val="20"/>
    </font>
    <font>
      <name val="Arial"/>
      <b val="1"/>
      <strike val="0"/>
      <color rgb="00E0B05A"/>
      <sz val="20"/>
    </font>
    <font>
      <name val="Arial"/>
      <b val="1"/>
      <strike val="0"/>
      <color rgb="0074D39A"/>
      <sz val="20"/>
    </font>
    <font>
      <name val="Arial"/>
      <b val="1"/>
      <strike val="0"/>
      <color rgb="00E2687B"/>
      <sz val="20"/>
    </font>
    <font>
      <name val="Arial"/>
      <b val="1"/>
      <strike val="0"/>
      <color rgb="00E2687B"/>
      <sz val="9"/>
    </font>
    <font>
      <name val="Arial"/>
      <b val="1"/>
      <strike val="0"/>
      <color rgb="00E0B05A"/>
      <sz val="9"/>
    </font>
    <font>
      <name val="Arial"/>
      <b val="1"/>
      <strike val="0"/>
      <color rgb="005CC8B8"/>
      <sz val="9"/>
    </font>
    <font>
      <name val="Arial"/>
      <b val="1"/>
      <strike val="0"/>
      <color rgb="005CC8B8"/>
      <sz val="8"/>
    </font>
    <font>
      <name val="Arial"/>
      <strike val="0"/>
      <color rgb="00A7B2A3"/>
      <sz val="9"/>
    </font>
    <font>
      <name val="Arial"/>
      <b val="1"/>
      <strike val="0"/>
      <color rgb="0074D39A"/>
      <sz val="9"/>
    </font>
  </fonts>
  <fills count="11">
    <fill>
      <patternFill/>
    </fill>
    <fill>
      <patternFill patternType="gray125"/>
    </fill>
    <fill>
      <patternFill patternType="solid">
        <fgColor rgb="00101A14"/>
      </patternFill>
    </fill>
    <fill>
      <patternFill patternType="solid">
        <fgColor rgb="000B1310"/>
      </patternFill>
    </fill>
    <fill>
      <patternFill patternType="solid">
        <fgColor rgb="0017251D"/>
      </patternFill>
    </fill>
    <fill>
      <patternFill patternType="solid">
        <fgColor rgb="001F3127"/>
      </patternFill>
    </fill>
    <fill>
      <patternFill patternType="solid">
        <fgColor rgb="0025392D"/>
      </patternFill>
    </fill>
    <fill>
      <patternFill patternType="solid">
        <fgColor rgb="001B2B22"/>
      </patternFill>
    </fill>
    <fill>
      <patternFill patternType="solid">
        <fgColor rgb="0043202A"/>
      </patternFill>
    </fill>
    <fill>
      <patternFill patternType="solid">
        <fgColor rgb="003D3218"/>
      </patternFill>
    </fill>
    <fill>
      <patternFill patternType="solid">
        <fgColor rgb="001C3A2A"/>
      </patternFill>
    </fill>
  </fills>
  <borders count="23">
    <border>
      <left/>
      <right/>
      <top/>
      <bottom/>
      <diagonal/>
    </border>
    <border>
      <left style="thin">
        <color rgb="002F4838"/>
      </left>
      <right style="thin">
        <color rgb="002F4838"/>
      </right>
      <top style="thin">
        <color rgb="002F4838"/>
      </top>
      <bottom style="medium">
        <color rgb="00E0B05A"/>
      </bottom>
    </border>
    <border>
      <left style="thin">
        <color rgb="002F4838"/>
      </left>
      <right style="thin">
        <color rgb="002F4838"/>
      </right>
      <top style="thin">
        <color rgb="002F4838"/>
      </top>
      <bottom style="medium">
        <color rgb="00A7B2A3"/>
      </bottom>
    </border>
    <border>
      <left/>
      <right/>
      <top style="thin">
        <color rgb="002F4838"/>
      </top>
      <bottom/>
      <diagonal/>
    </border>
    <border>
      <left/>
      <right style="thin">
        <color rgb="002F4838"/>
      </right>
      <top style="thin">
        <color rgb="002F4838"/>
      </top>
      <bottom/>
      <diagonal/>
    </border>
    <border>
      <left/>
      <right/>
      <top style="thin">
        <color rgb="002F4838"/>
      </top>
      <bottom style="medium">
        <color rgb="00A7B2A3"/>
      </bottom>
      <diagonal/>
    </border>
    <border>
      <left/>
      <right style="thin">
        <color rgb="002F4838"/>
      </right>
      <top style="thin">
        <color rgb="002F4838"/>
      </top>
      <bottom style="medium">
        <color rgb="00A7B2A3"/>
      </bottom>
      <diagonal/>
    </border>
    <border>
      <left style="thin">
        <color rgb="002F4838"/>
      </left>
      <right style="thin">
        <color rgb="002F4838"/>
      </right>
      <top style="thin">
        <color rgb="002F4838"/>
      </top>
      <bottom style="thin">
        <color rgb="002F4838"/>
      </bottom>
    </border>
    <border>
      <left style="thin">
        <color rgb="002F4838"/>
      </left>
      <right style="thin">
        <color rgb="002F4838"/>
      </right>
      <top style="thin">
        <color rgb="002F4838"/>
      </top>
      <bottom style="medium">
        <color rgb="00E2687B"/>
      </bottom>
    </border>
    <border>
      <left style="thick">
        <color rgb="00101A14"/>
      </left>
      <top style="thick">
        <color rgb="00101A14"/>
      </top>
    </border>
    <border>
      <right style="thick">
        <color rgb="00101A14"/>
      </right>
      <top style="thick">
        <color rgb="00101A14"/>
      </top>
    </border>
    <border>
      <left style="thick">
        <color rgb="00101A14"/>
      </left>
      <bottom style="thick">
        <color rgb="00101A14"/>
      </bottom>
    </border>
    <border>
      <right style="thick">
        <color rgb="00101A14"/>
      </right>
      <bottom style="thick">
        <color rgb="00101A14"/>
      </bottom>
    </border>
    <border>
      <left style="thick">
        <color rgb="00101A14"/>
      </left>
      <right style="thick">
        <color rgb="00101A14"/>
      </right>
      <top style="thick">
        <color rgb="00101A14"/>
      </top>
    </border>
    <border>
      <left/>
      <right/>
      <top style="thick">
        <color rgb="00101A14"/>
      </top>
      <bottom/>
      <diagonal/>
    </border>
    <border>
      <left/>
      <right style="thick">
        <color rgb="00101A14"/>
      </right>
      <top style="thick">
        <color rgb="00101A14"/>
      </top>
      <bottom/>
      <diagonal/>
    </border>
    <border>
      <left style="thick">
        <color rgb="00101A14"/>
      </left>
      <right style="thick">
        <color rgb="00101A14"/>
      </right>
      <bottom style="thick">
        <color rgb="00101A14"/>
      </bottom>
    </border>
    <border>
      <left/>
      <right style="thick">
        <color rgb="00101A14"/>
      </right>
      <top/>
      <bottom/>
      <diagonal/>
    </border>
    <border>
      <left/>
      <right style="thick">
        <color rgb="00101A14"/>
      </right>
      <top/>
      <bottom style="thick">
        <color rgb="00101A14"/>
      </bottom>
      <diagonal/>
    </border>
    <border>
      <left style="thick">
        <color rgb="00101A14"/>
      </left>
    </border>
    <border>
      <right style="thick">
        <color rgb="00101A14"/>
      </right>
    </border>
    <border>
      <left style="thick">
        <color rgb="00101A14"/>
      </left>
      <right style="thick">
        <color rgb="00101A14"/>
      </right>
    </border>
    <border>
      <left style="thin">
        <color rgb="002F4838"/>
      </left>
      <right style="thin">
        <color rgb="002F4838"/>
      </right>
      <top style="thin">
        <color rgb="002F4838"/>
      </top>
      <bottom style="medium">
        <color rgb="005CC8B8"/>
      </bottom>
    </border>
  </borders>
  <cellStyleXfs count="1">
    <xf numFmtId="0" fontId="0" fillId="0" borderId="0"/>
  </cellStyleXfs>
  <cellXfs count="75">
    <xf numFmtId="0" fontId="0" fillId="0" borderId="0" pivotButton="0" quotePrefix="0" xfId="0"/>
    <xf applyFill="1" numFmtId="0" fontId="0" fillId="2" borderId="0" pivotButton="0" quotePrefix="0" xfId="0"/>
    <xf applyFill="1" applyFont="1" numFmtId="0" fontId="13" fillId="2" borderId="0" pivotButton="0" quotePrefix="0" xfId="0"/>
    <xf applyBorder="1" applyFill="1" applyFont="1" numFmtId="0" fontId="4" fillId="4" borderId="13" applyAlignment="1" pivotButton="0" quotePrefix="0" xfId="0">
      <alignment horizontal="center" vertical="bottom"/>
    </xf>
    <xf applyBorder="1" numFmtId="0" fontId="0" fillId="0" borderId="15" pivotButton="0" quotePrefix="0" xfId="0"/>
    <xf applyFill="1" applyFont="1" numFmtId="0" fontId="2" fillId="2" borderId="0" pivotButton="0" quotePrefix="0" xfId="0"/>
    <xf applyBorder="1" applyFill="1" applyFont="1" applyNumberFormat="1" numFmtId="171" fontId="14" fillId="4" borderId="16" applyAlignment="1" pivotButton="0" quotePrefix="0" xfId="0">
      <alignment horizontal="center" vertical="top"/>
    </xf>
    <xf applyBorder="1" numFmtId="0" fontId="0" fillId="0" borderId="18" pivotButton="0" quotePrefix="0" xfId="0"/>
    <xf applyBorder="1" applyFill="1" applyFont="1" numFmtId="0" fontId="4" fillId="4" borderId="13" applyAlignment="1" pivotButton="0" quotePrefix="0" xfId="0">
      <alignment vertical="bottom" indent="1"/>
    </xf>
    <xf applyBorder="1" applyFill="1" applyFont="1" applyNumberFormat="1" numFmtId="164" fontId="15" fillId="4" borderId="21" applyAlignment="1" pivotButton="0" quotePrefix="0" xfId="0">
      <alignment horizontal="left" vertical="center" indent="1"/>
    </xf>
    <xf applyBorder="1" numFmtId="0" fontId="0" fillId="0" borderId="17" pivotButton="0" quotePrefix="0" xfId="0"/>
    <xf applyBorder="1" applyFill="1" applyFont="1" applyNumberFormat="1" numFmtId="164" fontId="16" fillId="4" borderId="21" applyAlignment="1" pivotButton="0" quotePrefix="0" xfId="0">
      <alignment horizontal="left" vertical="center" indent="1"/>
    </xf>
    <xf applyBorder="1" applyFill="1" applyFont="1" applyNumberFormat="1" numFmtId="164" fontId="17" fillId="4" borderId="21" applyAlignment="1" pivotButton="0" quotePrefix="0" xfId="0">
      <alignment horizontal="left" vertical="center" indent="1"/>
    </xf>
    <xf applyBorder="1" applyFill="1" applyFont="1" numFmtId="0" fontId="15" fillId="4" borderId="21" applyAlignment="1" pivotButton="0" quotePrefix="0" xfId="0">
      <alignment horizontal="left" vertical="center" indent="1"/>
    </xf>
    <xf applyBorder="1" applyFill="1" applyFont="1" numFmtId="0" fontId="9" fillId="4" borderId="16" applyAlignment="1" pivotButton="0" quotePrefix="0" xfId="0">
      <alignment vertical="top" indent="1"/>
    </xf>
    <xf applyBorder="1" applyFill="1" applyFont="1" applyNumberFormat="1" numFmtId="164" fontId="18" fillId="4" borderId="21" applyAlignment="1" pivotButton="0" quotePrefix="0" xfId="0">
      <alignment horizontal="left" vertical="center" indent="1"/>
    </xf>
    <xf applyBorder="1" applyFill="1" applyFont="1" applyNumberFormat="1" numFmtId="169" fontId="18" fillId="4" borderId="21" applyAlignment="1" pivotButton="0" quotePrefix="0" xfId="0">
      <alignment horizontal="left" vertical="center" indent="1"/>
    </xf>
    <xf applyBorder="1" applyFill="1" applyFont="1" applyNumberFormat="1" numFmtId="1" fontId="16" fillId="4" borderId="21" applyAlignment="1" pivotButton="0" quotePrefix="0" xfId="0">
      <alignment horizontal="left" vertical="center" indent="1"/>
    </xf>
    <xf applyFill="1" applyFont="1" numFmtId="0" fontId="19" fillId="2" borderId="0" applyAlignment="1" pivotButton="0" quotePrefix="0" xfId="0">
      <alignment vertical="bottom"/>
    </xf>
    <xf applyBorder="1" applyFill="1" applyFont="1" numFmtId="0" fontId="10" fillId="3" borderId="8" applyAlignment="1" pivotButton="0" quotePrefix="0" xfId="0">
      <alignment horizontal="center" vertical="center" wrapText="1"/>
    </xf>
    <xf applyBorder="1" applyFill="1" applyFont="1" numFmtId="0" fontId="5" fillId="4" borderId="7" applyAlignment="1" pivotButton="0" quotePrefix="0" xfId="0">
      <alignment horizontal="left" vertical="center"/>
    </xf>
    <xf applyBorder="1" applyFill="1" applyFont="1" applyNumberFormat="1" numFmtId="164" fontId="5" fillId="4" borderId="7" applyAlignment="1" pivotButton="0" quotePrefix="0" xfId="0">
      <alignment horizontal="right" vertical="center"/>
    </xf>
    <xf applyBorder="1" applyFill="1" applyFont="1" applyNumberFormat="1" numFmtId="167" fontId="5" fillId="4" borderId="7" applyAlignment="1" pivotButton="0" quotePrefix="0" xfId="0">
      <alignment horizontal="right" vertical="center"/>
    </xf>
    <xf applyBorder="1" applyFill="1" applyFont="1" numFmtId="0" fontId="5" fillId="7" borderId="7" applyAlignment="1" pivotButton="0" quotePrefix="0" xfId="0">
      <alignment horizontal="left" vertical="center"/>
    </xf>
    <xf applyBorder="1" applyFill="1" applyFont="1" applyNumberFormat="1" numFmtId="164" fontId="5" fillId="7" borderId="7" applyAlignment="1" pivotButton="0" quotePrefix="0" xfId="0">
      <alignment horizontal="right" vertical="center"/>
    </xf>
    <xf applyBorder="1" applyFill="1" applyFont="1" applyNumberFormat="1" numFmtId="167" fontId="5" fillId="7" borderId="7" applyAlignment="1" pivotButton="0" quotePrefix="0" xfId="0">
      <alignment horizontal="right" vertical="center"/>
    </xf>
    <xf applyFill="1" applyFont="1" numFmtId="0" fontId="20" fillId="2" borderId="0" applyAlignment="1" pivotButton="0" quotePrefix="0" xfId="0">
      <alignment vertical="bottom"/>
    </xf>
    <xf applyBorder="1" applyFill="1" applyFont="1" numFmtId="0" fontId="3" fillId="3" borderId="1" applyAlignment="1" pivotButton="0" quotePrefix="0" xfId="0">
      <alignment horizontal="center" vertical="center" wrapText="1"/>
    </xf>
    <xf applyBorder="1" applyFill="1" applyFont="1" applyNumberFormat="1" numFmtId="172" fontId="5" fillId="4" borderId="7" applyAlignment="1" pivotButton="0" quotePrefix="0" xfId="0">
      <alignment horizontal="center" vertical="center"/>
    </xf>
    <xf applyBorder="1" applyFill="1" applyFont="1" applyNumberFormat="1" numFmtId="170" fontId="5" fillId="4" borderId="7" applyAlignment="1" pivotButton="0" quotePrefix="0" xfId="0">
      <alignment horizontal="center" vertical="center"/>
    </xf>
    <xf applyBorder="1" applyFill="1" applyFont="1" applyNumberFormat="1" numFmtId="172" fontId="5" fillId="7" borderId="7" applyAlignment="1" pivotButton="0" quotePrefix="0" xfId="0">
      <alignment horizontal="center" vertical="center"/>
    </xf>
    <xf applyBorder="1" applyFill="1" applyFont="1" applyNumberFormat="1" numFmtId="170" fontId="5" fillId="7" borderId="7" applyAlignment="1" pivotButton="0" quotePrefix="0" xfId="0">
      <alignment horizontal="center" vertical="center"/>
    </xf>
    <xf applyBorder="1" applyFill="1" applyFont="1" applyNumberFormat="1" numFmtId="169" fontId="5" fillId="4" borderId="7" applyAlignment="1" pivotButton="0" quotePrefix="0" xfId="0">
      <alignment horizontal="right" vertical="center"/>
    </xf>
    <xf applyBorder="1" applyFill="1" applyFont="1" numFmtId="0" fontId="5" fillId="4" borderId="7" applyAlignment="1" pivotButton="0" quotePrefix="0" xfId="0">
      <alignment horizontal="center" vertical="center"/>
    </xf>
    <xf applyBorder="1" applyFill="1" applyFont="1" applyNumberFormat="1" numFmtId="169" fontId="5" fillId="7" borderId="7" applyAlignment="1" pivotButton="0" quotePrefix="0" xfId="0">
      <alignment horizontal="right" vertical="center"/>
    </xf>
    <xf applyBorder="1" applyFill="1" applyFont="1" numFmtId="0" fontId="5" fillId="7" borderId="7" applyAlignment="1" pivotButton="0" quotePrefix="0" xfId="0">
      <alignment horizontal="center" vertical="center"/>
    </xf>
    <xf applyFill="1" applyFont="1" numFmtId="0" fontId="21" fillId="2" borderId="0" applyAlignment="1" pivotButton="0" quotePrefix="0" xfId="0">
      <alignment vertical="bottom"/>
    </xf>
    <xf applyBorder="1" applyFill="1" applyFont="1" numFmtId="0" fontId="22" fillId="3" borderId="22" applyAlignment="1" pivotButton="0" quotePrefix="0" xfId="0">
      <alignment horizontal="center" vertical="center" wrapText="1"/>
    </xf>
    <xf applyFill="1" applyFont="1" numFmtId="0" fontId="12" fillId="2" borderId="0" applyAlignment="1" pivotButton="0" quotePrefix="0" xfId="0">
      <alignment vertical="bottom"/>
    </xf>
    <xf applyFill="1" applyFont="1" numFmtId="0" fontId="19" fillId="8" borderId="0" applyAlignment="1" pivotButton="0" quotePrefix="0" xfId="0">
      <alignment horizontal="center" vertical="center"/>
    </xf>
    <xf applyFill="1" applyFont="1" numFmtId="0" fontId="23" fillId="2" borderId="0" applyAlignment="1" pivotButton="0" quotePrefix="0" xfId="0">
      <alignment vertical="center" indent="1"/>
    </xf>
    <xf applyFill="1" applyFont="1" numFmtId="0" fontId="20" fillId="9" borderId="0" applyAlignment="1" pivotButton="0" quotePrefix="0" xfId="0">
      <alignment horizontal="center" vertical="center"/>
    </xf>
    <xf applyFill="1" applyFont="1" numFmtId="0" fontId="24" fillId="10" borderId="0" applyAlignment="1" pivotButton="0" quotePrefix="0" xfId="0">
      <alignment horizontal="center" vertical="center"/>
    </xf>
    <xf applyFill="1" applyFont="1" numFmtId="0" fontId="9" fillId="2" borderId="0" pivotButton="0" quotePrefix="0" xfId="0"/>
    <xf applyFill="1" applyFont="1" numFmtId="0" fontId="1" fillId="2" borderId="0" pivotButton="0" quotePrefix="0" xfId="0"/>
    <xf applyFill="1" applyFont="1" numFmtId="0" fontId="11" fillId="2" borderId="0" applyAlignment="1" pivotButton="0" quotePrefix="0" xfId="0">
      <alignment vertical="top" wrapText="1"/>
    </xf>
    <xf applyFill="1" applyFont="1" numFmtId="0" fontId="8" fillId="2" borderId="0" applyAlignment="1" pivotButton="0" quotePrefix="0" xfId="0">
      <alignment vertical="top" wrapText="1"/>
    </xf>
    <xf applyBorder="1" applyFill="1" applyFont="1" numFmtId="0" fontId="4" fillId="3" borderId="2" applyAlignment="1" pivotButton="0" quotePrefix="0" xfId="0">
      <alignment horizontal="center" vertical="center" wrapText="1"/>
    </xf>
    <xf applyBorder="1" numFmtId="0" fontId="0" fillId="0" borderId="5" pivotButton="0" quotePrefix="0" xfId="0"/>
    <xf applyBorder="1" numFmtId="0" fontId="0" fillId="0" borderId="6" pivotButton="0" quotePrefix="0" xfId="0"/>
    <xf applyBorder="1" applyFill="1" applyFont="1" applyNumberFormat="1" numFmtId="164" fontId="6" fillId="5" borderId="7" applyAlignment="1" pivotButton="0" quotePrefix="0" xfId="0">
      <alignment horizontal="right" vertical="center"/>
    </xf>
    <xf applyFill="1" applyFont="1" numFmtId="0" fontId="7" fillId="2" borderId="0" pivotButton="0" quotePrefix="0" xfId="0"/>
    <xf applyBorder="1" applyFill="1" applyFont="1" applyNumberFormat="1" numFmtId="166" fontId="6" fillId="5" borderId="7" applyAlignment="1" pivotButton="0" quotePrefix="0" xfId="0">
      <alignment horizontal="right" vertical="center"/>
    </xf>
    <xf applyBorder="1" applyFill="1" applyFont="1" applyNumberFormat="1" numFmtId="167" fontId="6" fillId="5" borderId="7" applyAlignment="1" pivotButton="0" quotePrefix="0" xfId="0">
      <alignment horizontal="right" vertical="center"/>
    </xf>
    <xf applyBorder="1" applyFill="1" applyFont="1" applyNumberFormat="1" numFmtId="1" fontId="6" fillId="5" borderId="7" applyAlignment="1" pivotButton="0" quotePrefix="0" xfId="0">
      <alignment horizontal="right" vertical="center"/>
    </xf>
    <xf applyBorder="1" applyFill="1" applyFont="1" applyNumberFormat="1" numFmtId="168" fontId="8" fillId="4" borderId="7" applyAlignment="1" pivotButton="0" quotePrefix="0" xfId="0">
      <alignment horizontal="right" vertical="center"/>
    </xf>
    <xf applyBorder="1" applyFill="1" applyFont="1" numFmtId="0" fontId="5" fillId="5" borderId="7" applyAlignment="1" pivotButton="0" quotePrefix="0" xfId="0">
      <alignment horizontal="left" vertical="center"/>
    </xf>
    <xf applyBorder="1" applyFill="1" applyFont="1" numFmtId="0" fontId="5" fillId="6" borderId="7" applyAlignment="1" pivotButton="0" quotePrefix="0" xfId="0">
      <alignment horizontal="left" vertical="center"/>
    </xf>
    <xf applyFill="1" applyFont="1" numFmtId="0" fontId="11" fillId="2" borderId="0" pivotButton="0" quotePrefix="0" xfId="0"/>
    <xf applyBorder="1" applyFill="1" applyFont="1" numFmtId="0" fontId="5" fillId="5" borderId="7" applyAlignment="1" pivotButton="0" quotePrefix="0" xfId="0">
      <alignment horizontal="center" vertical="center"/>
    </xf>
    <xf applyBorder="1" applyFill="1" applyFont="1" applyNumberFormat="1" numFmtId="164" fontId="5" fillId="5" borderId="7" applyAlignment="1" pivotButton="0" quotePrefix="0" xfId="0">
      <alignment horizontal="right" vertical="center"/>
    </xf>
    <xf applyBorder="1" applyFill="1" applyFont="1" numFmtId="0" fontId="5" fillId="6" borderId="7" applyAlignment="1" pivotButton="0" quotePrefix="0" xfId="0">
      <alignment horizontal="center" vertical="center"/>
    </xf>
    <xf applyBorder="1" applyFill="1" applyFont="1" applyNumberFormat="1" numFmtId="164" fontId="5" fillId="6" borderId="7" applyAlignment="1" pivotButton="0" quotePrefix="0" xfId="0">
      <alignment horizontal="right" vertical="center"/>
    </xf>
    <xf applyBorder="1" applyFill="1" applyFont="1" applyNumberFormat="1" numFmtId="1" fontId="5" fillId="5" borderId="7" applyAlignment="1" pivotButton="0" quotePrefix="0" xfId="0">
      <alignment horizontal="right" vertical="center"/>
    </xf>
    <xf applyBorder="1" applyFill="1" applyFont="1" applyNumberFormat="1" numFmtId="168" fontId="5" fillId="5" borderId="7" applyAlignment="1" pivotButton="0" quotePrefix="0" xfId="0">
      <alignment horizontal="right" vertical="center"/>
    </xf>
    <xf applyBorder="1" applyFill="1" applyFont="1" applyNumberFormat="1" numFmtId="167" fontId="5" fillId="5" borderId="7" applyAlignment="1" pivotButton="0" quotePrefix="0" xfId="0">
      <alignment horizontal="right" vertical="center"/>
    </xf>
    <xf applyBorder="1" applyFill="1" applyFont="1" applyNumberFormat="1" numFmtId="168" fontId="5" fillId="4" borderId="7" applyAlignment="1" pivotButton="0" quotePrefix="0" xfId="0">
      <alignment horizontal="right" vertical="center"/>
    </xf>
    <xf applyBorder="1" applyFill="1" applyFont="1" applyNumberFormat="1" numFmtId="1" fontId="5" fillId="4" borderId="7" applyAlignment="1" pivotButton="0" quotePrefix="0" xfId="0">
      <alignment horizontal="center" vertical="center"/>
    </xf>
    <xf applyBorder="1" applyFill="1" applyFont="1" applyNumberFormat="1" numFmtId="1" fontId="5" fillId="6" borderId="7" applyAlignment="1" pivotButton="0" quotePrefix="0" xfId="0">
      <alignment horizontal="right" vertical="center"/>
    </xf>
    <xf applyBorder="1" applyFill="1" applyFont="1" applyNumberFormat="1" numFmtId="168" fontId="5" fillId="6" borderId="7" applyAlignment="1" pivotButton="0" quotePrefix="0" xfId="0">
      <alignment horizontal="right" vertical="center"/>
    </xf>
    <xf applyBorder="1" applyFill="1" applyFont="1" applyNumberFormat="1" numFmtId="167" fontId="5" fillId="6" borderId="7" applyAlignment="1" pivotButton="0" quotePrefix="0" xfId="0">
      <alignment horizontal="right" vertical="center"/>
    </xf>
    <xf applyBorder="1" applyFill="1" applyFont="1" applyNumberFormat="1" numFmtId="168" fontId="5" fillId="7" borderId="7" applyAlignment="1" pivotButton="0" quotePrefix="0" xfId="0">
      <alignment horizontal="right" vertical="center"/>
    </xf>
    <xf applyBorder="1" applyFill="1" applyFont="1" applyNumberFormat="1" numFmtId="1" fontId="5" fillId="7" borderId="7" applyAlignment="1" pivotButton="0" quotePrefix="0" xfId="0">
      <alignment horizontal="center" vertical="center"/>
    </xf>
    <xf applyFill="1" applyFont="1" numFmtId="0" fontId="12" fillId="2" borderId="0" applyAlignment="1" pivotButton="0" quotePrefix="0" xfId="0">
      <alignment horizontal="right" vertical="center"/>
    </xf>
    <xf applyBorder="1" applyFill="1" applyFont="1" numFmtId="0" fontId="5" fillId="4" borderId="7" applyAlignment="1" pivotButton="0" quotePrefix="0" xfId="0">
      <alignment horizontal="right" vertical="center"/>
    </xf>
  </cellXfs>
  <cellStyles count="1">
    <cellStyle name="Normal" xfId="0" builtinId="0" hidden="0"/>
  </cellStyles>
  <dxfs count="10">
    <dxf>
      <font>
        <b val="1"/>
        <color rgb="00E2687B"/>
      </font>
    </dxf>
    <dxf>
      <font>
        <b val="1"/>
        <color rgb="00E2687B"/>
      </font>
      <fill>
        <patternFill patternType="solid">
          <fgColor rgb="0043202A"/>
        </patternFill>
      </fill>
    </dxf>
    <dxf>
      <font>
        <b val="1"/>
        <color rgb="00E0B05A"/>
      </font>
      <fill>
        <patternFill patternType="solid">
          <fgColor rgb="003D3218"/>
        </patternFill>
      </fill>
    </dxf>
    <dxf>
      <font>
        <b val="1"/>
        <color rgb="0074D39A"/>
      </font>
      <fill>
        <patternFill patternType="solid">
          <fgColor rgb="001C3A2A"/>
        </patternFill>
      </fill>
    </dxf>
    <dxf>
      <font>
        <b val="1"/>
        <color rgb="00B79CFF"/>
      </font>
      <fill>
        <patternFill patternType="solid">
          <fgColor rgb="002E2546"/>
        </patternFill>
      </fill>
    </dxf>
    <dxf>
      <font>
        <b val="1"/>
        <color rgb="005CC8B8"/>
      </font>
      <fill>
        <patternFill patternType="solid">
          <fgColor rgb="00173833"/>
        </patternFill>
      </fill>
    </dxf>
    <dxf>
      <font>
        <b val="1"/>
        <color rgb="009CC9F0"/>
      </font>
      <fill>
        <patternFill patternType="solid">
          <fgColor rgb="001D3045"/>
        </patternFill>
      </fill>
    </dxf>
    <dxf>
      <font>
        <b val="1"/>
        <color rgb="00C2C8BE"/>
      </font>
      <fill>
        <patternFill patternType="solid">
          <fgColor rgb="002A3530"/>
        </patternFill>
      </fill>
    </dxf>
    <dxf>
      <font>
        <b val="1"/>
        <color rgb="0074D39A"/>
      </font>
    </dxf>
    <dxf>
      <font>
        <color rgb="006E7A70"/>
      </font>
      <fill>
        <patternFill patternType="solid">
          <fgColor rgb="001F312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plotArea>
      <barChart>
        <barDir val="col"/>
        <grouping val="clustered"/>
        <ser>
          <idx val="0"/>
          <order val="0"/>
          <tx>
            <strRef>
              <f>'Chart Data'!C4</f>
            </strRef>
          </tx>
          <spPr>
            <a:solidFill>
              <a:srgbClr val="E2687B"/>
            </a:solidFill>
            <a:ln>
              <a:noFill/>
              <a:prstDash val="solid"/>
            </a:ln>
          </spPr>
          <cat>
            <numRef>
              <f>'Chart Data'!$B$5:$B$9</f>
            </numRef>
          </cat>
          <val>
            <numRef>
              <f>'Chart Data'!$C$5:$C$9</f>
            </numRef>
          </val>
        </ser>
        <gapWidth val="70"/>
        <axId val="10"/>
        <axId val="100"/>
      </barChart>
      <catAx>
        <axId val="10"/>
        <scaling>
          <orientation val="minMax"/>
        </scaling>
        <delete val="0"/>
        <axPos val="l"/>
        <majorTickMark val="none"/>
        <minorTickMark val="none"/>
        <spPr>
          <a:ln>
            <a:solidFill>
              <a:srgbClr val="2F4838"/>
            </a:solidFill>
            <a:prstDash val="solid"/>
          </a:ln>
        </spPr>
        <txPr>
          <a:bodyPr/>
          <a:p>
            <a:pPr>
              <a:defRPr sz="800" b="0">
                <a:solidFill>
                  <a:srgbClr val="A7B2A3"/>
                </a:solidFill>
              </a:defRPr>
            </a:pPr>
            <a:r>
              <a:t/>
            </a:r>
            <a:endParaRPr sz="800" b="0">
              <a:solidFill>
                <a:srgbClr val="A7B2A3"/>
              </a:solidFill>
            </a:endParaRPr>
          </a:p>
        </txPr>
        <crossAx val="100"/>
        <lblOffset val="100"/>
      </catAx>
      <valAx>
        <axId val="100"/>
        <scaling>
          <orientation val="minMax"/>
        </scaling>
        <delete val="0"/>
        <axPos val="l"/>
        <majorGridlines>
          <spPr>
            <a:ln>
              <a:solidFill>
                <a:srgbClr val="2F4838"/>
              </a:solidFill>
              <a:prstDash val="solid"/>
            </a:ln>
          </spPr>
        </majorGridlines>
        <numFmt formatCode="$#,##0" sourceLinked="0"/>
        <majorTickMark val="none"/>
        <minorTickMark val="none"/>
        <spPr>
          <a:ln>
            <a:solidFill>
              <a:srgbClr val="2F4838"/>
            </a:solidFill>
            <a:prstDash val="solid"/>
          </a:ln>
        </spPr>
        <txPr>
          <a:bodyPr/>
          <a:p>
            <a:pPr>
              <a:defRPr sz="800" b="0">
                <a:solidFill>
                  <a:srgbClr val="A7B2A3"/>
                </a:solidFill>
              </a:defRPr>
            </a:pPr>
            <a:r>
              <a:t/>
            </a:r>
            <a:endParaRPr sz="800" b="0">
              <a:solidFill>
                <a:srgbClr val="A7B2A3"/>
              </a:solidFill>
            </a:endParaRPr>
          </a:p>
        </txPr>
        <crossAx val="10"/>
      </valAx>
      <spPr>
        <a:noFill/>
        <a:ln>
          <a:noFill/>
          <a:prstDash val="solid"/>
        </a:ln>
      </spPr>
    </plotArea>
    <plotVisOnly val="0"/>
    <dispBlanksAs val="gap"/>
  </chart>
  <spPr>
    <a:solidFill>
      <a:srgbClr val="17251D"/>
    </a:solidFill>
    <a:ln>
      <a:noFill/>
      <a:prstDash val="solid"/>
    </a:ln>
  </spPr>
</chartSpace>
</file>

<file path=xl/charts/chart2.xml><?xml version="1.0" encoding="utf-8"?>
<chartSpace xmlns:a="http://schemas.openxmlformats.org/drawingml/2006/main" xmlns="http://schemas.openxmlformats.org/drawingml/2006/chart">
  <chart>
    <plotArea>
      <doughnutChart>
        <varyColors val="1"/>
        <ser>
          <idx val="0"/>
          <order val="0"/>
          <tx>
            <strRef>
              <f>'Chart Data'!C11</f>
            </strRef>
          </tx>
          <spPr>
            <a:ln>
              <a:prstDash val="solid"/>
            </a:ln>
          </spPr>
          <dPt>
            <idx val="0"/>
            <spPr>
              <a:solidFill>
                <a:srgbClr val="74D39A"/>
              </a:solidFill>
              <a:ln>
                <a:solidFill>
                  <a:srgbClr val="17251D"/>
                </a:solidFill>
                <a:prstDash val="solid"/>
              </a:ln>
            </spPr>
          </dPt>
          <dPt>
            <idx val="1"/>
            <spPr>
              <a:solidFill>
                <a:srgbClr val="9CC9F0"/>
              </a:solidFill>
              <a:ln>
                <a:solidFill>
                  <a:srgbClr val="17251D"/>
                </a:solidFill>
                <a:prstDash val="solid"/>
              </a:ln>
            </spPr>
          </dPt>
          <dPt>
            <idx val="2"/>
            <spPr>
              <a:solidFill>
                <a:srgbClr val="E0B05A"/>
              </a:solidFill>
              <a:ln>
                <a:solidFill>
                  <a:srgbClr val="17251D"/>
                </a:solidFill>
                <a:prstDash val="solid"/>
              </a:ln>
            </spPr>
          </dPt>
          <dPt>
            <idx val="3"/>
            <spPr>
              <a:solidFill>
                <a:srgbClr val="E2687B"/>
              </a:solidFill>
              <a:ln>
                <a:solidFill>
                  <a:srgbClr val="17251D"/>
                </a:solidFill>
                <a:prstDash val="solid"/>
              </a:ln>
            </spPr>
          </dPt>
          <dPt>
            <idx val="4"/>
            <spPr>
              <a:solidFill>
                <a:srgbClr val="A8384B"/>
              </a:solidFill>
              <a:ln>
                <a:solidFill>
                  <a:srgbClr val="17251D"/>
                </a:solidFill>
                <a:prstDash val="solid"/>
              </a:ln>
            </spPr>
          </dPt>
          <dPt>
            <idx val="5"/>
            <spPr>
              <a:solidFill>
                <a:srgbClr val="5CC8B8"/>
              </a:solidFill>
              <a:ln>
                <a:solidFill>
                  <a:srgbClr val="17251D"/>
                </a:solidFill>
                <a:prstDash val="solid"/>
              </a:ln>
            </spPr>
          </dPt>
          <dPt>
            <idx val="6"/>
            <spPr>
              <a:solidFill>
                <a:srgbClr val="8A948A"/>
              </a:solidFill>
              <a:ln>
                <a:solidFill>
                  <a:srgbClr val="17251D"/>
                </a:solidFill>
                <a:prstDash val="solid"/>
              </a:ln>
            </spPr>
          </dPt>
          <cat>
            <numRef>
              <f>'Chart Data'!$B$12:$B$18</f>
            </numRef>
          </cat>
          <val>
            <numRef>
              <f>'Chart Data'!$C$12:$C$18</f>
            </numRef>
          </val>
        </ser>
        <dLbls>
          <txPr>
            <a:bodyPr/>
            <a:p>
              <a:pPr>
                <a:defRPr sz="900" b="1">
                  <a:solidFill>
                    <a:srgbClr val="101A14"/>
                  </a:solidFill>
                </a:defRPr>
              </a:pPr>
              <a:r>
                <a:t/>
              </a:r>
              <a:endParaRPr sz="900" b="1">
                <a:solidFill>
                  <a:srgbClr val="101A14"/>
                </a:solidFill>
              </a:endParaRPr>
            </a:p>
          </txPr>
          <showLegendKey val="0"/>
          <showVal val="0"/>
          <showCatName val="0"/>
          <showSerName val="0"/>
          <showPercent val="1"/>
        </dLbls>
        <firstSliceAng val="0"/>
        <holeSize val="58"/>
      </doughnutChart>
      <spPr>
        <a:noFill/>
        <a:ln>
          <a:noFill/>
          <a:prstDash val="solid"/>
        </a:ln>
      </spPr>
    </plotArea>
    <legend>
      <legendPos val="r"/>
      <txPr>
        <a:bodyPr/>
        <a:p>
          <a:pPr>
            <a:defRPr sz="900" b="0">
              <a:solidFill>
                <a:srgbClr val="F3EFE4"/>
              </a:solidFill>
            </a:defRPr>
          </a:pPr>
          <a:r>
            <a:t/>
          </a:r>
          <a:endParaRPr sz="900" b="0">
            <a:solidFill>
              <a:srgbClr val="F3EFE4"/>
            </a:solidFill>
          </a:endParaRPr>
        </a:p>
      </txPr>
    </legend>
    <plotVisOnly val="0"/>
    <dispBlanksAs val="gap"/>
  </chart>
  <spPr>
    <a:solidFill>
      <a:srgbClr val="17251D"/>
    </a:solidFill>
    <a:ln>
      <a:noFill/>
      <a:prstDash val="solid"/>
    </a:ln>
  </spPr>
</chartSpace>
</file>

<file path=xl/comments/comment1.xml><?xml version="1.0" encoding="utf-8"?>
<comments xmlns="http://schemas.openxmlformats.org/spreadsheetml/2006/main">
  <authors>
    <author>CheckMaybe</author>
  </authors>
  <commentList>
    <comment ref="K5" authorId="0" shapeId="0">
      <text>
        <t>Gifts paid with Pay-in-4, Monthly BNPL or Store financing. Add each one to Holiday Payments to see what it costs month by month.</t>
      </text>
    </comment>
  </commentList>
</comments>
</file>

<file path=xl/comments/comment2.xml><?xml version="1.0" encoding="utf-8"?>
<comments xmlns="http://schemas.openxmlformats.org/spreadsheetml/2006/main">
  <authors>
    <author>CheckMaybe</author>
  </authors>
  <commentList>
    <comment ref="M5" authorId="0" shapeId="0">
      <text>
        <t>Stated APR if you entered one. Otherwise worked out with RATE() from price, payment and number of payments (first payment at checkout counts as paid up front). Fees charged separately are not included. Your agreement is the final word.</t>
      </text>
    </comment>
    <comment ref="R5" authorId="0" shapeId="0">
      <text>
        <t>What each plan charges in that calendar month. The first month is set in Settings.</t>
      </text>
    </comment>
  </commentList>
</comments>
</file>

<file path=xl/comments/comment3.xml><?xml version="1.0" encoding="utf-8"?>
<comments xmlns="http://schemas.openxmlformats.org/spreadsheetml/2006/main">
  <authors>
    <author>CheckMaybe</author>
  </authors>
  <commentList>
    <comment ref="G5" authorId="0" shapeId="0">
      <text>
        <t>Tick it once you've cancelled. The trial drops off the Dashboard and counts as savings.</t>
      </text>
    </comment>
  </commentList>
</comments>
</file>

<file path=xl/comments/comment4.xml><?xml version="1.0" encoding="utf-8"?>
<comments xmlns="http://schemas.openxmlformats.org/spreadsheetml/2006/main">
  <authors>
    <author>CheckMaybe</author>
  </authors>
  <commentList>
    <comment ref="E5" authorId="0" shapeId="0">
      <text>
        <t>The price you saw for the same item before the sale, for example the lowest price in the last 30 days. Leave it blank if you don't know; the verdict will ask for it.</t>
      </text>
    </comment>
    <comment ref="F5" authorId="0" shapeId="0">
      <text>
        <t>Your local sales tax rate. 0% if prices already include tax.</t>
      </text>
    </comment>
    <comment ref="I5" authorId="0" shapeId="0">
      <text>
        <t>Only if you'll pay on a plan. Leave blank if you pay in full.</t>
      </text>
    </comment>
    <comment ref="P5" authorId="0" shapeId="0">
      <text>
        <t>Real deal: at least the 'good deal' % below the usual price, you need it, and the plan adds nothing. Not a deal: the sale price is not below the usual price.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13</row>
      <rowOff>0</rowOff>
    </from>
    <ext cx="4644000" cy="252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29</row>
      <rowOff>0</rowOff>
    </from>
    <ext cx="4644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E0B05A"/>
    <outlinePr summaryBelow="1" summaryRight="1"/>
    <pageSetUpPr/>
  </sheetPr>
  <dimension ref="A1:K60"/>
  <sheetViews>
    <sheetView showGridLines="0" workbookViewId="0">
      <selection activeCell="A1" sqref="A1"/>
    </sheetView>
  </sheetViews>
  <sheetFormatPr baseColWidth="8" defaultRowHeight="15"/>
  <cols>
    <col width="2" customWidth="1" min="1" max="1"/>
    <col width="24" customWidth="1" min="2" max="2"/>
    <col width="14" customWidth="1" min="3" max="3"/>
    <col width="14" customWidth="1" min="4" max="4"/>
    <col width="14" customWidth="1" min="5" max="5"/>
    <col width="16" customWidth="1" min="6" max="6"/>
    <col width="16" customWidth="1" min="7" max="7"/>
    <col width="16" customWidth="1" min="8" max="8"/>
    <col width="18" customWidth="1" min="9" max="9"/>
    <col width="2" customWidth="1" min="10" max="10"/>
  </cols>
  <sheetData>
    <row r="1">
      <c r="A1" s="1" t="n"/>
      <c r="B1" s="1" t="n"/>
      <c r="C1" s="1" t="n"/>
      <c r="D1" s="1" t="n"/>
      <c r="E1" s="1" t="n"/>
      <c r="F1" s="1" t="n"/>
      <c r="G1" s="1" t="n"/>
      <c r="H1" s="1" t="n"/>
      <c r="I1" s="1" t="n"/>
      <c r="J1" s="1" t="n"/>
      <c r="K1" s="1" t="n"/>
    </row>
    <row r="2" ht="34" customHeight="1">
      <c r="A2" s="1" t="n"/>
      <c r="B2" s="2" t="inlineStr">
        <is>
          <t>HOLIDAY HIDDEN COST TRACKER</t>
        </is>
      </c>
      <c r="C2" s="1" t="n"/>
      <c r="D2" s="1" t="n"/>
      <c r="E2" s="1" t="n"/>
      <c r="F2" s="1" t="n"/>
      <c r="G2" s="1" t="n"/>
      <c r="H2" s="3" t="inlineStr">
        <is>
          <t>TODAY</t>
        </is>
      </c>
      <c r="I2" s="4" t="n"/>
      <c r="J2" s="1" t="n"/>
      <c r="K2" s="1" t="n"/>
    </row>
    <row r="3">
      <c r="A3" s="1" t="n"/>
      <c r="B3" s="5" t="inlineStr">
        <is>
          <t>Your gift budget, and what the holidays will still cost you in January.</t>
        </is>
      </c>
      <c r="C3" s="1" t="n"/>
      <c r="D3" s="1" t="n"/>
      <c r="E3" s="1" t="n"/>
      <c r="F3" s="1" t="n"/>
      <c r="G3" s="1" t="n"/>
      <c r="H3" s="6">
        <f>Settings!$C$11</f>
        <v/>
      </c>
      <c r="I3" s="7" t="n"/>
      <c r="J3" s="1" t="n"/>
      <c r="K3" s="1" t="n"/>
    </row>
    <row r="4">
      <c r="A4" s="1" t="n"/>
      <c r="B4" s="1" t="n"/>
      <c r="C4" s="1" t="n"/>
      <c r="D4" s="1" t="n"/>
      <c r="E4" s="1" t="n"/>
      <c r="F4" s="1" t="n"/>
      <c r="G4" s="1" t="n"/>
      <c r="H4" s="1" t="n"/>
      <c r="I4" s="1" t="n"/>
      <c r="J4" s="1" t="n"/>
      <c r="K4" s="1" t="n"/>
    </row>
    <row r="5" ht="20" customHeight="1">
      <c r="A5" s="1" t="n"/>
      <c r="B5" s="8" t="inlineStr">
        <is>
          <t>HOLIDAY BUDGET</t>
        </is>
      </c>
      <c r="C5" s="4" t="n"/>
      <c r="D5" s="8" t="inlineStr">
        <is>
          <t>SPENT ON GIFTS</t>
        </is>
      </c>
      <c r="E5" s="4" t="n"/>
      <c r="F5" s="8" t="inlineStr">
        <is>
          <t>LEFT IN BUDGET</t>
        </is>
      </c>
      <c r="G5" s="4" t="n"/>
      <c r="H5" s="8" t="inlineStr">
        <is>
          <t>GIFTS SORTED</t>
        </is>
      </c>
      <c r="I5" s="4" t="n"/>
      <c r="J5" s="1" t="n"/>
      <c r="K5" s="1" t="n"/>
    </row>
    <row r="6" ht="32" customHeight="1">
      <c r="A6" s="1" t="n"/>
      <c r="B6" s="9">
        <f>Settings!$C$5</f>
        <v/>
      </c>
      <c r="C6" s="10" t="n"/>
      <c r="D6" s="11">
        <f>SUM('Gift List'!$F$6:$F$55)</f>
        <v/>
      </c>
      <c r="E6" s="10" t="n"/>
      <c r="F6" s="12">
        <f>Settings!$C$5-SUM('Gift List'!$F$6:$F$55)</f>
        <v/>
      </c>
      <c r="G6" s="10" t="n"/>
      <c r="H6" s="13">
        <f>COUNTIF('Gift List'!$H$6:$H$55,"Bought")+COUNTIF('Gift List'!$H$6:$H$55,"Wrapped")+COUNTIF('Gift List'!$H$6:$H$55,"Given")&amp;" of "&amp;COUNTA('Gift List'!$B$6:$B$55)</f>
        <v/>
      </c>
      <c r="I6" s="10" t="n"/>
      <c r="J6" s="1" t="n"/>
      <c r="K6" s="1" t="n"/>
    </row>
    <row r="7" ht="20" customHeight="1">
      <c r="A7" s="1" t="n"/>
      <c r="B7" s="14" t="inlineStr">
        <is>
          <t>change it in Settings</t>
        </is>
      </c>
      <c r="C7" s="7" t="n"/>
      <c r="D7" s="14">
        <f>IF(Settings!$C$5&gt;0,TEXT(SUM('Gift List'!$F$6:$F$55)/Settings!$C$5,"0%")&amp;" of your budget","")</f>
        <v/>
      </c>
      <c r="E7" s="7" t="n"/>
      <c r="F7" s="14">
        <f>IF(Settings!$C$5-SUM('Gift List'!$F$6:$F$55)&lt;0,"over budget","still to spend")</f>
        <v/>
      </c>
      <c r="G7" s="7" t="n"/>
      <c r="H7" s="14">
        <f>COUNTIF('Gift List'!$H$6:$H$55,"Idea")&amp;" still ideas  ·  "&amp;COUNTIF('Gift List'!$H$6:$H$55,"Given")&amp;" given"</f>
        <v/>
      </c>
      <c r="I7" s="7" t="n"/>
      <c r="J7" s="1" t="n"/>
      <c r="K7" s="1" t="n"/>
    </row>
    <row r="8">
      <c r="A8" s="1" t="n"/>
      <c r="B8" s="1" t="n"/>
      <c r="C8" s="1" t="n"/>
      <c r="D8" s="1" t="n"/>
      <c r="E8" s="1" t="n"/>
      <c r="F8" s="1" t="n"/>
      <c r="G8" s="1" t="n"/>
      <c r="H8" s="1" t="n"/>
      <c r="I8" s="1" t="n"/>
      <c r="J8" s="1" t="n"/>
      <c r="K8" s="1" t="n"/>
    </row>
    <row r="9" ht="20" customHeight="1">
      <c r="A9" s="1" t="n"/>
      <c r="B9" s="8">
        <f>"DUE IN "&amp;UPPER(TEXT(EDATE(Settings!$C$7,1),"mmmm"))</f>
        <v/>
      </c>
      <c r="C9" s="4" t="n"/>
      <c r="D9" s="8">
        <f>"DUE IN "&amp;UPPER(TEXT(EDATE(Settings!$C$7,2),"mmmm"))</f>
        <v/>
      </c>
      <c r="E9" s="4" t="n"/>
      <c r="F9" s="8" t="inlineStr">
        <is>
          <t>HIGHEST REAL APR</t>
        </is>
      </c>
      <c r="G9" s="4" t="n"/>
      <c r="H9" s="8" t="inlineStr">
        <is>
          <t>FREE TRIALS ENDING SOON</t>
        </is>
      </c>
      <c r="I9" s="4" t="n"/>
      <c r="J9" s="1" t="n"/>
      <c r="K9" s="1" t="n"/>
    </row>
    <row r="10" ht="32" customHeight="1">
      <c r="A10" s="1" t="n"/>
      <c r="B10" s="15">
        <f>'Chart Data'!$C$6</f>
        <v/>
      </c>
      <c r="C10" s="10" t="n"/>
      <c r="D10" s="15">
        <f>'Chart Data'!$C$7</f>
        <v/>
      </c>
      <c r="E10" s="10" t="n"/>
      <c r="F10" s="16">
        <f>IF(COUNT('Holiday Payments'!$M$6:$M$25)=0,"",MAX('Holiday Payments'!$M$6:$M$25))</f>
        <v/>
      </c>
      <c r="G10" s="10" t="n"/>
      <c r="H10" s="17">
        <f>COUNTIF('Free Trials'!$L$6:$L$25,"Cancel soon?")</f>
        <v/>
      </c>
      <c r="I10" s="10" t="n"/>
      <c r="J10" s="1" t="n"/>
      <c r="K10" s="1" t="n"/>
    </row>
    <row r="11" ht="20" customHeight="1">
      <c r="A11" s="1" t="n"/>
      <c r="B11" s="14">
        <f>TEXT('Chart Data'!$D$6,"0%")&amp;" of monthly take-home  ·  from holiday plans"</f>
        <v/>
      </c>
      <c r="C11" s="7" t="n"/>
      <c r="D11" s="14">
        <f>TEXT('Chart Data'!$D$7,"0%")&amp;" of monthly take-home  ·  from holiday plans"</f>
        <v/>
      </c>
      <c r="E11" s="7" t="n"/>
      <c r="F11" s="14">
        <f>IF(COUNT('Holiday Payments'!$M$6:$M$25)=0,"add a plan to see it",'Chart Data'!$B$22&amp;"  ·  extra cost "&amp;TEXT(SUM('Holiday Payments'!$L$6:$L$25),"$#,##0"))</f>
        <v/>
      </c>
      <c r="G11" s="7" t="n"/>
      <c r="H11" s="14">
        <f>IF(COUNT('Free Trials'!$M$6:$M$25)=0,"no open free trials","first cancel-by: "&amp;TEXT(Settings!$C$11+INT(SMALL('Free Trials'!$M$6:$M$25,1)),"mmm d"))</f>
        <v/>
      </c>
      <c r="I11" s="7" t="n"/>
      <c r="J11" s="1" t="n"/>
      <c r="K11" s="1" t="n"/>
    </row>
    <row r="12">
      <c r="A12" s="1" t="n"/>
      <c r="B12" s="1" t="n"/>
      <c r="C12" s="1" t="n"/>
      <c r="D12" s="1" t="n"/>
      <c r="E12" s="1" t="n"/>
      <c r="F12" s="1" t="n"/>
      <c r="G12" s="1" t="n"/>
      <c r="H12" s="1" t="n"/>
      <c r="I12" s="1" t="n"/>
      <c r="J12" s="1" t="n"/>
      <c r="K12" s="1" t="n"/>
    </row>
    <row r="13">
      <c r="A13" s="1" t="n"/>
      <c r="B13" s="18" t="inlineStr">
        <is>
          <t>HOLIDAY PAYMENTS  ·  MONTH BY MONTH</t>
        </is>
      </c>
      <c r="C13" s="1" t="n"/>
      <c r="D13" s="1" t="n"/>
      <c r="E13" s="1" t="n"/>
      <c r="F13" s="18" t="inlineStr">
        <is>
          <t>HOLIDAY PAYMENTS BY MONTH</t>
        </is>
      </c>
      <c r="G13" s="1" t="n"/>
      <c r="H13" s="1" t="n"/>
      <c r="I13" s="1" t="n"/>
      <c r="J13" s="1" t="n"/>
      <c r="K13" s="1" t="n"/>
    </row>
    <row r="14" ht="24" customHeight="1">
      <c r="A14" s="1" t="n"/>
      <c r="B14" s="19" t="inlineStr">
        <is>
          <t>MONTH</t>
        </is>
      </c>
      <c r="C14" s="19" t="inlineStr">
        <is>
          <t>DUE</t>
        </is>
      </c>
      <c r="D14" s="19" t="inlineStr">
        <is>
          <t>SHARE OF INCOME</t>
        </is>
      </c>
      <c r="E14" s="19" t="inlineStr">
        <is>
          <t>RUNNING TOTAL</t>
        </is>
      </c>
      <c r="F14" s="1" t="n"/>
      <c r="G14" s="1" t="n"/>
      <c r="H14" s="1" t="n"/>
      <c r="I14" s="1" t="n"/>
      <c r="J14" s="1" t="n"/>
      <c r="K14" s="1" t="n"/>
    </row>
    <row r="15" ht="21" customHeight="1">
      <c r="A15" s="1" t="n"/>
      <c r="B15" s="20">
        <f>'Chart Data'!B5</f>
        <v/>
      </c>
      <c r="C15" s="21">
        <f>'Chart Data'!C5</f>
        <v/>
      </c>
      <c r="D15" s="22">
        <f>'Chart Data'!D5</f>
        <v/>
      </c>
      <c r="E15" s="21">
        <f>SUM('Chart Data'!$C$5:C5)</f>
        <v/>
      </c>
      <c r="F15" s="1" t="n"/>
      <c r="G15" s="1" t="n"/>
      <c r="H15" s="1" t="n"/>
      <c r="I15" s="1" t="n"/>
      <c r="J15" s="1" t="n"/>
      <c r="K15" s="1" t="n"/>
    </row>
    <row r="16" ht="21" customHeight="1">
      <c r="A16" s="1" t="n"/>
      <c r="B16" s="23">
        <f>'Chart Data'!B6</f>
        <v/>
      </c>
      <c r="C16" s="24">
        <f>'Chart Data'!C6</f>
        <v/>
      </c>
      <c r="D16" s="25">
        <f>'Chart Data'!D6</f>
        <v/>
      </c>
      <c r="E16" s="24">
        <f>SUM('Chart Data'!$C$5:C6)</f>
        <v/>
      </c>
      <c r="F16" s="1" t="n"/>
      <c r="G16" s="1" t="n"/>
      <c r="H16" s="1" t="n"/>
      <c r="I16" s="1" t="n"/>
      <c r="J16" s="1" t="n"/>
      <c r="K16" s="1" t="n"/>
    </row>
    <row r="17" ht="21" customHeight="1">
      <c r="A17" s="1" t="n"/>
      <c r="B17" s="20">
        <f>'Chart Data'!B7</f>
        <v/>
      </c>
      <c r="C17" s="21">
        <f>'Chart Data'!C7</f>
        <v/>
      </c>
      <c r="D17" s="22">
        <f>'Chart Data'!D7</f>
        <v/>
      </c>
      <c r="E17" s="21">
        <f>SUM('Chart Data'!$C$5:C7)</f>
        <v/>
      </c>
      <c r="F17" s="1" t="n"/>
      <c r="G17" s="1" t="n"/>
      <c r="H17" s="1" t="n"/>
      <c r="I17" s="1" t="n"/>
      <c r="J17" s="1" t="n"/>
      <c r="K17" s="1" t="n"/>
    </row>
    <row r="18" ht="21" customHeight="1">
      <c r="A18" s="1" t="n"/>
      <c r="B18" s="23">
        <f>'Chart Data'!B8</f>
        <v/>
      </c>
      <c r="C18" s="24">
        <f>'Chart Data'!C8</f>
        <v/>
      </c>
      <c r="D18" s="25">
        <f>'Chart Data'!D8</f>
        <v/>
      </c>
      <c r="E18" s="24">
        <f>SUM('Chart Data'!$C$5:C8)</f>
        <v/>
      </c>
      <c r="F18" s="1" t="n"/>
      <c r="G18" s="1" t="n"/>
      <c r="H18" s="1" t="n"/>
      <c r="I18" s="1" t="n"/>
      <c r="J18" s="1" t="n"/>
      <c r="K18" s="1" t="n"/>
    </row>
    <row r="19" ht="21" customHeight="1">
      <c r="A19" s="1" t="n"/>
      <c r="B19" s="20">
        <f>'Chart Data'!B9</f>
        <v/>
      </c>
      <c r="C19" s="21">
        <f>'Chart Data'!C9</f>
        <v/>
      </c>
      <c r="D19" s="22">
        <f>'Chart Data'!D9</f>
        <v/>
      </c>
      <c r="E19" s="21">
        <f>SUM('Chart Data'!$C$5:C9)</f>
        <v/>
      </c>
      <c r="F19" s="1" t="n"/>
      <c r="G19" s="1" t="n"/>
      <c r="H19" s="1" t="n"/>
      <c r="I19" s="1" t="n"/>
      <c r="J19" s="1" t="n"/>
      <c r="K19" s="1" t="n"/>
    </row>
    <row r="20">
      <c r="A20" s="1" t="n"/>
      <c r="B20" s="1" t="n"/>
      <c r="C20" s="1" t="n"/>
      <c r="D20" s="1" t="n"/>
      <c r="E20" s="1" t="n"/>
      <c r="F20" s="1" t="n"/>
      <c r="G20" s="1" t="n"/>
      <c r="H20" s="1" t="n"/>
      <c r="I20" s="1" t="n"/>
      <c r="J20" s="1" t="n"/>
      <c r="K20" s="1" t="n"/>
    </row>
    <row r="21">
      <c r="A21" s="1" t="n"/>
      <c r="B21" s="26" t="inlineStr">
        <is>
          <t>FREE TRIALS  ·  CANCEL BEFORE YOU'RE CHARGED</t>
        </is>
      </c>
      <c r="C21" s="1" t="n"/>
      <c r="D21" s="1" t="n"/>
      <c r="E21" s="1" t="n"/>
      <c r="F21" s="1" t="n"/>
      <c r="G21" s="1" t="n"/>
      <c r="H21" s="1" t="n"/>
      <c r="I21" s="1" t="n"/>
      <c r="J21" s="1" t="n"/>
      <c r="K21" s="1" t="n"/>
    </row>
    <row r="22" ht="24" customHeight="1">
      <c r="A22" s="1" t="n"/>
      <c r="B22" s="27" t="inlineStr">
        <is>
          <t>FREE TRIAL</t>
        </is>
      </c>
      <c r="C22" s="27" t="inlineStr">
        <is>
          <t>THEN COSTS</t>
        </is>
      </c>
      <c r="D22" s="27" t="inlineStr">
        <is>
          <t>CANCEL BY</t>
        </is>
      </c>
      <c r="E22" s="27" t="inlineStr">
        <is>
          <t>DAYS LEFT</t>
        </is>
      </c>
      <c r="F22" s="1" t="n"/>
      <c r="G22" s="1" t="n"/>
      <c r="H22" s="1" t="n"/>
      <c r="I22" s="1" t="n"/>
      <c r="J22" s="1" t="n"/>
      <c r="K22" s="1" t="n"/>
    </row>
    <row r="23" ht="21" customHeight="1">
      <c r="A23" s="1" t="n"/>
      <c r="B23" s="20">
        <f>IFERROR(INDEX('Free Trials'!$B$6:$B$25,MATCH(SMALL('Free Trials'!$M$6:$M$25,1),'Free Trials'!$M$6:$M$25,0)),"")</f>
        <v/>
      </c>
      <c r="C23" s="21">
        <f>IFERROR(INDEX('Free Trials'!$E$6:$E$25,MATCH(SMALL('Free Trials'!$M$6:$M$25,1),'Free Trials'!$M$6:$M$25,0)),"")</f>
        <v/>
      </c>
      <c r="D23" s="28">
        <f>IFERROR(INDEX('Free Trials'!$H$6:$H$25,MATCH(SMALL('Free Trials'!$M$6:$M$25,1),'Free Trials'!$M$6:$M$25,0)),"")</f>
        <v/>
      </c>
      <c r="E23" s="29">
        <f>IFERROR(INDEX('Free Trials'!$I$6:$I$25,MATCH(SMALL('Free Trials'!$M$6:$M$25,1),'Free Trials'!$M$6:$M$25,0)),"")</f>
        <v/>
      </c>
      <c r="F23" s="1" t="n"/>
      <c r="G23" s="1" t="n"/>
      <c r="H23" s="1" t="n"/>
      <c r="I23" s="1" t="n"/>
      <c r="J23" s="1" t="n"/>
      <c r="K23" s="1" t="n"/>
    </row>
    <row r="24" ht="21" customHeight="1">
      <c r="A24" s="1" t="n"/>
      <c r="B24" s="23">
        <f>IFERROR(INDEX('Free Trials'!$B$6:$B$25,MATCH(SMALL('Free Trials'!$M$6:$M$25,2),'Free Trials'!$M$6:$M$25,0)),"")</f>
        <v/>
      </c>
      <c r="C24" s="24">
        <f>IFERROR(INDEX('Free Trials'!$E$6:$E$25,MATCH(SMALL('Free Trials'!$M$6:$M$25,2),'Free Trials'!$M$6:$M$25,0)),"")</f>
        <v/>
      </c>
      <c r="D24" s="30">
        <f>IFERROR(INDEX('Free Trials'!$H$6:$H$25,MATCH(SMALL('Free Trials'!$M$6:$M$25,2),'Free Trials'!$M$6:$M$25,0)),"")</f>
        <v/>
      </c>
      <c r="E24" s="31">
        <f>IFERROR(INDEX('Free Trials'!$I$6:$I$25,MATCH(SMALL('Free Trials'!$M$6:$M$25,2),'Free Trials'!$M$6:$M$25,0)),"")</f>
        <v/>
      </c>
      <c r="F24" s="1" t="n"/>
      <c r="G24" s="1" t="n"/>
      <c r="H24" s="1" t="n"/>
      <c r="I24" s="1" t="n"/>
      <c r="J24" s="1" t="n"/>
      <c r="K24" s="1" t="n"/>
    </row>
    <row r="25" ht="21" customHeight="1">
      <c r="A25" s="1" t="n"/>
      <c r="B25" s="20">
        <f>IFERROR(INDEX('Free Trials'!$B$6:$B$25,MATCH(SMALL('Free Trials'!$M$6:$M$25,3),'Free Trials'!$M$6:$M$25,0)),"")</f>
        <v/>
      </c>
      <c r="C25" s="21">
        <f>IFERROR(INDEX('Free Trials'!$E$6:$E$25,MATCH(SMALL('Free Trials'!$M$6:$M$25,3),'Free Trials'!$M$6:$M$25,0)),"")</f>
        <v/>
      </c>
      <c r="D25" s="28">
        <f>IFERROR(INDEX('Free Trials'!$H$6:$H$25,MATCH(SMALL('Free Trials'!$M$6:$M$25,3),'Free Trials'!$M$6:$M$25,0)),"")</f>
        <v/>
      </c>
      <c r="E25" s="29">
        <f>IFERROR(INDEX('Free Trials'!$I$6:$I$25,MATCH(SMALL('Free Trials'!$M$6:$M$25,3),'Free Trials'!$M$6:$M$25,0)),"")</f>
        <v/>
      </c>
      <c r="F25" s="1" t="n"/>
      <c r="G25" s="1" t="n"/>
      <c r="H25" s="1" t="n"/>
      <c r="I25" s="1" t="n"/>
      <c r="J25" s="1" t="n"/>
      <c r="K25" s="1" t="n"/>
    </row>
    <row r="26" ht="21" customHeight="1">
      <c r="A26" s="1" t="n"/>
      <c r="B26" s="23">
        <f>IFERROR(INDEX('Free Trials'!$B$6:$B$25,MATCH(SMALL('Free Trials'!$M$6:$M$25,4),'Free Trials'!$M$6:$M$25,0)),"")</f>
        <v/>
      </c>
      <c r="C26" s="24">
        <f>IFERROR(INDEX('Free Trials'!$E$6:$E$25,MATCH(SMALL('Free Trials'!$M$6:$M$25,4),'Free Trials'!$M$6:$M$25,0)),"")</f>
        <v/>
      </c>
      <c r="D26" s="30">
        <f>IFERROR(INDEX('Free Trials'!$H$6:$H$25,MATCH(SMALL('Free Trials'!$M$6:$M$25,4),'Free Trials'!$M$6:$M$25,0)),"")</f>
        <v/>
      </c>
      <c r="E26" s="31">
        <f>IFERROR(INDEX('Free Trials'!$I$6:$I$25,MATCH(SMALL('Free Trials'!$M$6:$M$25,4),'Free Trials'!$M$6:$M$25,0)),"")</f>
        <v/>
      </c>
      <c r="F26" s="1" t="n"/>
      <c r="G26" s="1" t="n"/>
      <c r="H26" s="1" t="n"/>
      <c r="I26" s="1" t="n"/>
      <c r="J26" s="1" t="n"/>
      <c r="K26" s="1" t="n"/>
    </row>
    <row r="27">
      <c r="A27" s="1" t="n"/>
      <c r="B27" s="1" t="n"/>
      <c r="C27" s="1" t="n"/>
      <c r="D27" s="1" t="n"/>
      <c r="E27" s="1" t="n"/>
      <c r="F27" s="1" t="n"/>
      <c r="G27" s="1" t="n"/>
      <c r="H27" s="1" t="n"/>
      <c r="I27" s="1" t="n"/>
      <c r="J27" s="1" t="n"/>
      <c r="K27" s="1" t="n"/>
    </row>
    <row r="28">
      <c r="A28" s="1" t="n"/>
      <c r="B28" s="18" t="inlineStr">
        <is>
          <t>PAYMENT PLANS  ·  HIGHEST REAL APR FIRST</t>
        </is>
      </c>
      <c r="C28" s="1" t="n"/>
      <c r="D28" s="1" t="n"/>
      <c r="E28" s="1" t="n"/>
      <c r="F28" s="1" t="n"/>
      <c r="G28" s="1" t="n"/>
      <c r="H28" s="1" t="n"/>
      <c r="I28" s="1" t="n"/>
      <c r="J28" s="1" t="n"/>
      <c r="K28" s="1" t="n"/>
    </row>
    <row r="29" ht="24" customHeight="1">
      <c r="A29" s="1" t="n"/>
      <c r="B29" s="19" t="inlineStr">
        <is>
          <t>PLAN</t>
        </is>
      </c>
      <c r="C29" s="19" t="inlineStr">
        <is>
          <t>REAL APR</t>
        </is>
      </c>
      <c r="D29" s="19" t="inlineStr">
        <is>
          <t>FLAG</t>
        </is>
      </c>
      <c r="E29" s="19" t="inlineStr">
        <is>
          <t>STILL TO PAY</t>
        </is>
      </c>
      <c r="F29" s="26" t="inlineStr">
        <is>
          <t>HOW YOU PAID FOR GIFTS</t>
        </is>
      </c>
      <c r="G29" s="1" t="n"/>
      <c r="H29" s="1" t="n"/>
      <c r="I29" s="1" t="n"/>
      <c r="J29" s="1" t="n"/>
      <c r="K29" s="1" t="n"/>
    </row>
    <row r="30" ht="21" customHeight="1">
      <c r="A30" s="1" t="n"/>
      <c r="B30" s="20">
        <f>'Chart Data'!B22</f>
        <v/>
      </c>
      <c r="C30" s="32">
        <f>'Chart Data'!C22</f>
        <v/>
      </c>
      <c r="D30" s="33">
        <f>'Chart Data'!D22</f>
        <v/>
      </c>
      <c r="E30" s="21">
        <f>'Chart Data'!E22</f>
        <v/>
      </c>
      <c r="F30" s="1" t="n"/>
      <c r="G30" s="1" t="n"/>
      <c r="H30" s="1" t="n"/>
      <c r="I30" s="1" t="n"/>
      <c r="J30" s="1" t="n"/>
      <c r="K30" s="1" t="n"/>
    </row>
    <row r="31" ht="21" customHeight="1">
      <c r="A31" s="1" t="n"/>
      <c r="B31" s="23">
        <f>'Chart Data'!B23</f>
        <v/>
      </c>
      <c r="C31" s="34">
        <f>'Chart Data'!C23</f>
        <v/>
      </c>
      <c r="D31" s="35">
        <f>'Chart Data'!D23</f>
        <v/>
      </c>
      <c r="E31" s="24">
        <f>'Chart Data'!E23</f>
        <v/>
      </c>
      <c r="F31" s="1" t="n"/>
      <c r="G31" s="1" t="n"/>
      <c r="H31" s="1" t="n"/>
      <c r="I31" s="1" t="n"/>
      <c r="J31" s="1" t="n"/>
      <c r="K31" s="1" t="n"/>
    </row>
    <row r="32" ht="21" customHeight="1">
      <c r="A32" s="1" t="n"/>
      <c r="B32" s="20">
        <f>'Chart Data'!B24</f>
        <v/>
      </c>
      <c r="C32" s="32">
        <f>'Chart Data'!C24</f>
        <v/>
      </c>
      <c r="D32" s="33">
        <f>'Chart Data'!D24</f>
        <v/>
      </c>
      <c r="E32" s="21">
        <f>'Chart Data'!E24</f>
        <v/>
      </c>
      <c r="F32" s="1" t="n"/>
      <c r="G32" s="1" t="n"/>
      <c r="H32" s="1" t="n"/>
      <c r="I32" s="1" t="n"/>
      <c r="J32" s="1" t="n"/>
      <c r="K32" s="1" t="n"/>
    </row>
    <row r="33" ht="21" customHeight="1">
      <c r="A33" s="1" t="n"/>
      <c r="B33" s="23">
        <f>'Chart Data'!B25</f>
        <v/>
      </c>
      <c r="C33" s="34">
        <f>'Chart Data'!C25</f>
        <v/>
      </c>
      <c r="D33" s="35">
        <f>'Chart Data'!D25</f>
        <v/>
      </c>
      <c r="E33" s="24">
        <f>'Chart Data'!E25</f>
        <v/>
      </c>
      <c r="F33" s="1" t="n"/>
      <c r="G33" s="1" t="n"/>
      <c r="H33" s="1" t="n"/>
      <c r="I33" s="1" t="n"/>
      <c r="J33" s="1" t="n"/>
      <c r="K33" s="1" t="n"/>
    </row>
    <row r="34" ht="21" customHeight="1">
      <c r="A34" s="1" t="n"/>
      <c r="B34" s="20">
        <f>'Chart Data'!B26</f>
        <v/>
      </c>
      <c r="C34" s="32">
        <f>'Chart Data'!C26</f>
        <v/>
      </c>
      <c r="D34" s="33">
        <f>'Chart Data'!D26</f>
        <v/>
      </c>
      <c r="E34" s="21">
        <f>'Chart Data'!E26</f>
        <v/>
      </c>
      <c r="F34" s="1" t="n"/>
      <c r="G34" s="1" t="n"/>
      <c r="H34" s="1" t="n"/>
      <c r="I34" s="1" t="n"/>
      <c r="J34" s="1" t="n"/>
      <c r="K34" s="1" t="n"/>
    </row>
    <row r="35" ht="21" customHeight="1">
      <c r="A35" s="1" t="n"/>
      <c r="B35" s="23">
        <f>'Chart Data'!B27</f>
        <v/>
      </c>
      <c r="C35" s="34">
        <f>'Chart Data'!C27</f>
        <v/>
      </c>
      <c r="D35" s="35">
        <f>'Chart Data'!D27</f>
        <v/>
      </c>
      <c r="E35" s="24">
        <f>'Chart Data'!E27</f>
        <v/>
      </c>
      <c r="F35" s="1" t="n"/>
      <c r="G35" s="1" t="n"/>
      <c r="H35" s="1" t="n"/>
      <c r="I35" s="1" t="n"/>
      <c r="J35" s="1" t="n"/>
      <c r="K35" s="1" t="n"/>
    </row>
    <row r="36">
      <c r="A36" s="1" t="n"/>
      <c r="B36" s="1" t="n"/>
      <c r="C36" s="1" t="n"/>
      <c r="D36" s="1" t="n"/>
      <c r="E36" s="1" t="n"/>
      <c r="F36" s="1" t="n"/>
      <c r="G36" s="1" t="n"/>
      <c r="H36" s="1" t="n"/>
      <c r="I36" s="1" t="n"/>
      <c r="J36" s="1" t="n"/>
      <c r="K36" s="1" t="n"/>
    </row>
    <row r="37">
      <c r="A37" s="1" t="n"/>
      <c r="B37" s="36" t="inlineStr">
        <is>
          <t>STILL TO BUY</t>
        </is>
      </c>
      <c r="C37" s="1" t="n"/>
      <c r="D37" s="1" t="n"/>
      <c r="E37" s="1" t="n"/>
      <c r="F37" s="1" t="n"/>
      <c r="G37" s="1" t="n"/>
      <c r="H37" s="1" t="n"/>
      <c r="I37" s="1" t="n"/>
      <c r="J37" s="1" t="n"/>
      <c r="K37" s="1" t="n"/>
    </row>
    <row r="38" ht="24" customHeight="1">
      <c r="A38" s="1" t="n"/>
      <c r="B38" s="37" t="inlineStr">
        <is>
          <t>RECIPIENT</t>
        </is>
      </c>
      <c r="C38" s="37" t="inlineStr">
        <is>
          <t>GIFT</t>
        </is>
      </c>
      <c r="D38" s="37" t="inlineStr">
        <is>
          <t>BUDGET</t>
        </is>
      </c>
      <c r="E38" s="37" t="inlineStr">
        <is>
          <t>RELATIONSHIP</t>
        </is>
      </c>
      <c r="F38" s="1" t="n"/>
      <c r="G38" s="1" t="n"/>
      <c r="H38" s="1" t="n"/>
      <c r="I38" s="1" t="n"/>
      <c r="J38" s="1" t="n"/>
      <c r="K38" s="1" t="n"/>
    </row>
    <row r="39" ht="21" customHeight="1">
      <c r="A39" s="1" t="n"/>
      <c r="B39" s="20">
        <f>'Chart Data'!B30</f>
        <v/>
      </c>
      <c r="C39" s="20">
        <f>'Chart Data'!C30</f>
        <v/>
      </c>
      <c r="D39" s="21">
        <f>'Chart Data'!D30</f>
        <v/>
      </c>
      <c r="E39" s="33">
        <f>'Chart Data'!E30</f>
        <v/>
      </c>
      <c r="F39" s="1" t="n"/>
      <c r="G39" s="1" t="n"/>
      <c r="H39" s="1" t="n"/>
      <c r="I39" s="1" t="n"/>
      <c r="J39" s="1" t="n"/>
      <c r="K39" s="1" t="n"/>
    </row>
    <row r="40" ht="21" customHeight="1">
      <c r="A40" s="1" t="n"/>
      <c r="B40" s="23">
        <f>'Chart Data'!B31</f>
        <v/>
      </c>
      <c r="C40" s="23">
        <f>'Chart Data'!C31</f>
        <v/>
      </c>
      <c r="D40" s="24">
        <f>'Chart Data'!D31</f>
        <v/>
      </c>
      <c r="E40" s="35">
        <f>'Chart Data'!E31</f>
        <v/>
      </c>
      <c r="F40" s="1" t="n"/>
      <c r="G40" s="1" t="n"/>
      <c r="H40" s="1" t="n"/>
      <c r="I40" s="1" t="n"/>
      <c r="J40" s="1" t="n"/>
      <c r="K40" s="1" t="n"/>
    </row>
    <row r="41" ht="21" customHeight="1">
      <c r="A41" s="1" t="n"/>
      <c r="B41" s="20">
        <f>'Chart Data'!B32</f>
        <v/>
      </c>
      <c r="C41" s="20">
        <f>'Chart Data'!C32</f>
        <v/>
      </c>
      <c r="D41" s="21">
        <f>'Chart Data'!D32</f>
        <v/>
      </c>
      <c r="E41" s="33">
        <f>'Chart Data'!E32</f>
        <v/>
      </c>
      <c r="F41" s="1" t="n"/>
      <c r="G41" s="1" t="n"/>
      <c r="H41" s="1" t="n"/>
      <c r="I41" s="1" t="n"/>
      <c r="J41" s="1" t="n"/>
      <c r="K41" s="1" t="n"/>
    </row>
    <row r="42" ht="21" customHeight="1">
      <c r="A42" s="1" t="n"/>
      <c r="B42" s="23">
        <f>'Chart Data'!B33</f>
        <v/>
      </c>
      <c r="C42" s="23">
        <f>'Chart Data'!C33</f>
        <v/>
      </c>
      <c r="D42" s="24">
        <f>'Chart Data'!D33</f>
        <v/>
      </c>
      <c r="E42" s="35">
        <f>'Chart Data'!E33</f>
        <v/>
      </c>
      <c r="F42" s="1" t="n"/>
      <c r="G42" s="1" t="n"/>
      <c r="H42" s="1" t="n"/>
      <c r="I42" s="1" t="n"/>
      <c r="J42" s="1" t="n"/>
      <c r="K42" s="1" t="n"/>
    </row>
    <row r="43" ht="21" customHeight="1">
      <c r="A43" s="1" t="n"/>
      <c r="B43" s="20">
        <f>'Chart Data'!B34</f>
        <v/>
      </c>
      <c r="C43" s="20">
        <f>'Chart Data'!C34</f>
        <v/>
      </c>
      <c r="D43" s="21">
        <f>'Chart Data'!D34</f>
        <v/>
      </c>
      <c r="E43" s="33">
        <f>'Chart Data'!E34</f>
        <v/>
      </c>
      <c r="F43" s="1" t="n"/>
      <c r="G43" s="1" t="n"/>
      <c r="H43" s="1" t="n"/>
      <c r="I43" s="1" t="n"/>
      <c r="J43" s="1" t="n"/>
      <c r="K43" s="1" t="n"/>
    </row>
    <row r="44">
      <c r="A44" s="1" t="n"/>
      <c r="B44" s="1" t="n"/>
      <c r="C44" s="1" t="n"/>
      <c r="D44" s="1" t="n"/>
      <c r="E44" s="1" t="n"/>
      <c r="F44" s="1" t="n"/>
      <c r="G44" s="1" t="n"/>
      <c r="H44" s="1" t="n"/>
      <c r="I44" s="1" t="n"/>
      <c r="J44" s="1" t="n"/>
      <c r="K44" s="1" t="n"/>
    </row>
    <row r="45">
      <c r="A45" s="1" t="n"/>
      <c r="B45" s="38" t="inlineStr">
        <is>
          <t>WHAT THE FLAGS MEAN</t>
        </is>
      </c>
      <c r="C45" s="1" t="n"/>
      <c r="D45" s="1" t="n"/>
      <c r="E45" s="1" t="n"/>
      <c r="F45" s="1" t="n"/>
      <c r="G45" s="1" t="n"/>
      <c r="H45" s="1" t="n"/>
      <c r="I45" s="1" t="n"/>
      <c r="J45" s="1" t="n"/>
      <c r="K45" s="1" t="n"/>
    </row>
    <row r="46" ht="20" customHeight="1">
      <c r="A46" s="1" t="n"/>
      <c r="B46" s="39" t="inlineStr">
        <is>
          <t>HIGH</t>
        </is>
      </c>
      <c r="C46" s="40">
        <f>"Real APR at or above "&amp;TEXT(Settings!$C$8,"0%")&amp;". The monthly price hides a real cost."</f>
        <v/>
      </c>
      <c r="D46" s="1" t="n"/>
      <c r="E46" s="1" t="n"/>
      <c r="F46" s="1" t="n"/>
      <c r="G46" s="1" t="n"/>
      <c r="H46" s="1" t="n"/>
      <c r="I46" s="1" t="n"/>
      <c r="J46" s="1" t="n"/>
      <c r="K46" s="1" t="n"/>
    </row>
    <row r="47" ht="20" customHeight="1">
      <c r="A47" s="1" t="n"/>
      <c r="B47" s="41" t="inlineStr">
        <is>
          <t>CHECK</t>
        </is>
      </c>
      <c r="C47" s="40">
        <f>"Real APR at or above "&amp;TEXT(Settings!$C$9,"0%")&amp;". Worth a second look."</f>
        <v/>
      </c>
      <c r="D47" s="1" t="n"/>
      <c r="E47" s="1" t="n"/>
      <c r="F47" s="1" t="n"/>
      <c r="G47" s="1" t="n"/>
      <c r="H47" s="1" t="n"/>
      <c r="I47" s="1" t="n"/>
      <c r="J47" s="1" t="n"/>
      <c r="K47" s="1" t="n"/>
    </row>
    <row r="48" ht="20" customHeight="1">
      <c r="A48" s="1" t="n"/>
      <c r="B48" s="42" t="inlineStr">
        <is>
          <t>OK</t>
        </is>
      </c>
      <c r="C48" s="40">
        <f>"Little or no extra cost. Still a bill to plan for."</f>
        <v/>
      </c>
      <c r="D48" s="1" t="n"/>
      <c r="E48" s="1" t="n"/>
      <c r="F48" s="1" t="n"/>
      <c r="G48" s="1" t="n"/>
      <c r="H48" s="1" t="n"/>
      <c r="I48" s="1" t="n"/>
      <c r="J48" s="1" t="n"/>
      <c r="K48" s="1" t="n"/>
    </row>
    <row r="49">
      <c r="A49" s="1" t="n"/>
      <c r="B49" s="1" t="n"/>
      <c r="C49" s="1" t="n"/>
      <c r="D49" s="1" t="n"/>
      <c r="E49" s="1" t="n"/>
      <c r="F49" s="1" t="n"/>
      <c r="G49" s="1" t="n"/>
      <c r="H49" s="1" t="n"/>
      <c r="I49" s="1" t="n"/>
      <c r="J49" s="1" t="n"/>
      <c r="K49" s="1" t="n"/>
    </row>
    <row r="50">
      <c r="A50" s="1" t="n"/>
      <c r="B50" s="43" t="inlineStr">
        <is>
          <t>Pay-in-4 with no fee and the first payment at checkout works out to 0%. 0% store offers can charge back-dated interest if a payment is late: check your agreement.</t>
        </is>
      </c>
      <c r="C50" s="1" t="n"/>
      <c r="D50" s="1" t="n"/>
      <c r="E50" s="1" t="n"/>
      <c r="F50" s="1" t="n"/>
      <c r="G50" s="1" t="n"/>
      <c r="H50" s="1" t="n"/>
      <c r="I50" s="1" t="n"/>
      <c r="J50" s="1" t="n"/>
      <c r="K50" s="1" t="n"/>
    </row>
    <row r="51">
      <c r="A51" s="1" t="n"/>
      <c r="B51" s="1" t="n"/>
      <c r="C51" s="1" t="n"/>
      <c r="D51" s="1" t="n"/>
      <c r="E51" s="1" t="n"/>
      <c r="F51" s="1" t="n"/>
      <c r="G51" s="1" t="n"/>
      <c r="H51" s="1" t="n"/>
      <c r="I51" s="1" t="n"/>
      <c r="J51" s="1" t="n"/>
      <c r="K51" s="1" t="n"/>
    </row>
    <row r="52">
      <c r="A52" s="1" t="n"/>
      <c r="B52" s="1" t="n"/>
      <c r="C52" s="1" t="n"/>
      <c r="D52" s="1" t="n"/>
      <c r="E52" s="1" t="n"/>
      <c r="F52" s="1" t="n"/>
      <c r="G52" s="1" t="n"/>
      <c r="H52" s="1" t="n"/>
      <c r="I52" s="1" t="n"/>
      <c r="J52" s="1" t="n"/>
      <c r="K52" s="1" t="n"/>
    </row>
    <row r="53">
      <c r="A53" s="1" t="n"/>
      <c r="B53" s="1" t="n"/>
      <c r="C53" s="1" t="n"/>
      <c r="D53" s="1" t="n"/>
      <c r="E53" s="1" t="n"/>
      <c r="F53" s="1" t="n"/>
      <c r="G53" s="1" t="n"/>
      <c r="H53" s="1" t="n"/>
      <c r="I53" s="1" t="n"/>
      <c r="J53" s="1" t="n"/>
      <c r="K53" s="1" t="n"/>
    </row>
    <row r="54">
      <c r="A54" s="1" t="n"/>
      <c r="B54" s="1" t="n"/>
      <c r="C54" s="1" t="n"/>
      <c r="D54" s="1" t="n"/>
      <c r="E54" s="1" t="n"/>
      <c r="F54" s="1" t="n"/>
      <c r="G54" s="1" t="n"/>
      <c r="H54" s="1" t="n"/>
      <c r="I54" s="1" t="n"/>
      <c r="J54" s="1" t="n"/>
      <c r="K54" s="1" t="n"/>
    </row>
    <row r="55">
      <c r="A55" s="1" t="n"/>
      <c r="B55" s="1" t="n"/>
      <c r="C55" s="1" t="n"/>
      <c r="D55" s="1" t="n"/>
      <c r="E55" s="1" t="n"/>
      <c r="F55" s="1" t="n"/>
      <c r="G55" s="1" t="n"/>
      <c r="H55" s="1" t="n"/>
      <c r="I55" s="1" t="n"/>
      <c r="J55" s="1" t="n"/>
      <c r="K55" s="1" t="n"/>
    </row>
    <row r="56">
      <c r="A56" s="1" t="n"/>
      <c r="B56" s="43" t="inlineStr">
        <is>
          <t>Estimates only, not financial advice. Real APR is worked out from your payments and excludes fees charged separately; your agreement is the final word. Example rows are made up.</t>
        </is>
      </c>
      <c r="C56" s="1" t="n"/>
      <c r="D56" s="1" t="n"/>
      <c r="E56" s="1" t="n"/>
      <c r="F56" s="1" t="n"/>
      <c r="G56" s="1" t="n"/>
      <c r="H56" s="1" t="n"/>
      <c r="I56" s="1" t="n"/>
      <c r="J56" s="1" t="n"/>
      <c r="K56" s="1" t="n"/>
    </row>
    <row r="57">
      <c r="A57" s="1" t="n"/>
      <c r="B57" s="1" t="n"/>
      <c r="C57" s="1" t="n"/>
      <c r="D57" s="1" t="n"/>
      <c r="E57" s="1" t="n"/>
      <c r="F57" s="1" t="n"/>
      <c r="G57" s="1" t="n"/>
      <c r="H57" s="1" t="n"/>
      <c r="I57" s="1" t="n"/>
      <c r="J57" s="1" t="n"/>
      <c r="K57" s="1" t="n"/>
    </row>
    <row r="58">
      <c r="A58" s="1" t="n"/>
      <c r="B58" s="1" t="n"/>
      <c r="C58" s="1" t="n"/>
      <c r="D58" s="1" t="n"/>
      <c r="E58" s="1" t="n"/>
      <c r="F58" s="1" t="n"/>
      <c r="G58" s="1" t="n"/>
      <c r="H58" s="1" t="n"/>
      <c r="I58" s="1" t="n"/>
      <c r="J58" s="1" t="n"/>
      <c r="K58" s="1" t="n"/>
    </row>
    <row r="59">
      <c r="A59" s="1" t="n"/>
      <c r="B59" s="1" t="n"/>
      <c r="C59" s="1" t="n"/>
      <c r="D59" s="1" t="n"/>
      <c r="E59" s="1" t="n"/>
      <c r="F59" s="1" t="n"/>
      <c r="G59" s="1" t="n"/>
      <c r="H59" s="1" t="n"/>
      <c r="I59" s="1" t="n"/>
      <c r="J59" s="1" t="n"/>
      <c r="K59" s="1" t="n"/>
    </row>
    <row r="60">
      <c r="A60" s="1" t="n"/>
      <c r="B60" s="1" t="n"/>
      <c r="C60" s="1" t="n"/>
      <c r="D60" s="1" t="n"/>
      <c r="E60" s="1" t="n"/>
      <c r="F60" s="1" t="n"/>
      <c r="G60" s="1" t="n"/>
      <c r="H60" s="1" t="n"/>
      <c r="I60" s="1" t="n"/>
      <c r="J60" s="1" t="n"/>
      <c r="K60" s="1" t="n"/>
    </row>
  </sheetData>
  <mergeCells count="26">
    <mergeCell ref="F11:G11"/>
    <mergeCell ref="D10:E10"/>
    <mergeCell ref="B7:C7"/>
    <mergeCell ref="F10:G10"/>
    <mergeCell ref="H10:I10"/>
    <mergeCell ref="F6:G6"/>
    <mergeCell ref="H9:I9"/>
    <mergeCell ref="F7:G7"/>
    <mergeCell ref="D6:E6"/>
    <mergeCell ref="H6:I6"/>
    <mergeCell ref="B11:C11"/>
    <mergeCell ref="D11:E11"/>
    <mergeCell ref="F5:G5"/>
    <mergeCell ref="H11:I11"/>
    <mergeCell ref="H2:I2"/>
    <mergeCell ref="D7:E7"/>
    <mergeCell ref="H7:I7"/>
    <mergeCell ref="B10:C10"/>
    <mergeCell ref="B9:C9"/>
    <mergeCell ref="D9:E9"/>
    <mergeCell ref="F9:G9"/>
    <mergeCell ref="H3:I3"/>
    <mergeCell ref="B6:C6"/>
    <mergeCell ref="B5:C5"/>
    <mergeCell ref="D5:E5"/>
    <mergeCell ref="H5:I5"/>
  </mergeCells>
  <conditionalFormatting sqref="F6">
    <cfRule type="expression" priority="1" dxfId="0">
      <formula>F6&lt;0</formula>
    </cfRule>
  </conditionalFormatting>
  <conditionalFormatting sqref="D15:D19">
    <cfRule type="expression" priority="2" dxfId="1">
      <formula>D15&gt;=0.1</formula>
    </cfRule>
    <cfRule type="expression" priority="3" dxfId="2">
      <formula>D15&gt;=0.05</formula>
    </cfRule>
  </conditionalFormatting>
  <conditionalFormatting sqref="E23:E26">
    <cfRule type="expression" priority="4" dxfId="1">
      <formula>AND(ISNUMBER(E23),E23&lt;=Settings!$C$10)</formula>
    </cfRule>
  </conditionalFormatting>
  <conditionalFormatting sqref="D30:D35">
    <cfRule type="cellIs" priority="5" operator="equal" dxfId="1">
      <formula>"HIGH"</formula>
    </cfRule>
    <cfRule type="cellIs" priority="6" operator="equal" dxfId="2">
      <formula>"CHECK"</formula>
    </cfRule>
    <cfRule type="cellIs" priority="7" operator="equal" dxfId="3">
      <formula>"OK"</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5CC8B8"/>
    <outlinePr summaryBelow="1" summaryRight="1"/>
    <pageSetUpPr/>
  </sheetPr>
  <dimension ref="A1:C28"/>
  <sheetViews>
    <sheetView showGridLines="0" workbookViewId="0">
      <selection activeCell="A1" sqref="A1"/>
    </sheetView>
  </sheetViews>
  <sheetFormatPr baseColWidth="8" defaultRowHeight="15"/>
  <cols>
    <col width="3" customWidth="1" min="1" max="1"/>
    <col width="110" customWidth="1" min="2" max="2"/>
  </cols>
  <sheetData>
    <row r="1">
      <c r="A1" s="1" t="n"/>
      <c r="B1" s="1" t="n"/>
      <c r="C1" s="1" t="n"/>
    </row>
    <row r="2" ht="30" customHeight="1">
      <c r="A2" s="1" t="n"/>
      <c r="B2" s="44" t="inlineStr">
        <is>
          <t>How to use</t>
        </is>
      </c>
      <c r="C2" s="1" t="n"/>
    </row>
    <row r="3">
      <c r="A3" s="1" t="n"/>
      <c r="B3" s="5" t="inlineStr">
        <is>
          <t>Ten minutes to set up.</t>
        </is>
      </c>
      <c r="C3" s="1" t="n"/>
    </row>
    <row r="4">
      <c r="A4" s="1" t="n"/>
      <c r="B4" s="1" t="n"/>
      <c r="C4" s="1" t="n"/>
    </row>
    <row r="5">
      <c r="A5" s="1" t="n"/>
      <c r="B5" s="45" t="inlineStr">
        <is>
          <t>1. Settings: enter your holiday budget, monthly take-home income and the first month you want to plan (usually December).</t>
        </is>
      </c>
      <c r="C5" s="1" t="n"/>
    </row>
    <row r="6">
      <c r="A6" s="1" t="n"/>
      <c r="B6" s="45" t="inlineStr">
        <is>
          <t>2. Gift List: one row per person. Gold-header columns are yours; berry-header columns calculate themselves.</t>
        </is>
      </c>
      <c r="C6" s="1" t="n"/>
    </row>
    <row r="7">
      <c r="A7" s="1" t="n"/>
      <c r="B7" s="46" t="inlineStr">
        <is>
          <t xml:space="preserve">   • Set Paid with. Gifts on Pay-in-4, Monthly BNPL or Store financing are marked 'On a plan'.</t>
        </is>
      </c>
      <c r="C7" s="1" t="n"/>
    </row>
    <row r="8">
      <c r="A8" s="1" t="n"/>
      <c r="B8" s="45" t="inlineStr">
        <is>
          <t>3. Holiday Payments: one row per payment plan (gifts, travel, anything bought on a plan this season).</t>
        </is>
      </c>
      <c r="C8" s="1" t="n"/>
    </row>
    <row r="9">
      <c r="A9" s="1" t="n"/>
      <c r="B9" s="46" t="inlineStr">
        <is>
          <t xml:space="preserve">   • Enter the price, the payment, how many payments, how often and the first payment date.</t>
        </is>
      </c>
      <c r="C9" s="1" t="n"/>
    </row>
    <row r="10">
      <c r="A10" s="1" t="n"/>
      <c r="B10" s="46" t="inlineStr">
        <is>
          <t xml:space="preserve">   • First payment taken at checkout (most pay-in-4)? Set '1st paid at checkout?' to Yes.</t>
        </is>
      </c>
      <c r="C10" s="1" t="n"/>
    </row>
    <row r="11">
      <c r="A11" s="1" t="n"/>
      <c r="B11" s="46" t="inlineStr">
        <is>
          <t xml:space="preserve">   • You get the real APR, the extra cost, and what each plan charges in each month.</t>
        </is>
      </c>
      <c r="C11" s="1" t="n"/>
    </row>
    <row r="12">
      <c r="A12" s="1" t="n"/>
      <c r="B12" s="45" t="inlineStr">
        <is>
          <t>4. Free Trials: one row per trial you start (Black Friday deals often come with one). Tick Cancelled? once you've cancelled.</t>
        </is>
      </c>
      <c r="C12" s="1" t="n"/>
    </row>
    <row r="13">
      <c r="A13" s="1" t="n"/>
      <c r="B13" s="46" t="inlineStr">
        <is>
          <t xml:space="preserve">   • Deal Check: before you buy a sale item, enter the sale price and the usual price (before the sale), tax, shipping and</t>
        </is>
      </c>
      <c r="C13" s="1" t="n"/>
    </row>
    <row r="14">
      <c r="A14" s="1" t="n"/>
      <c r="B14" s="46" t="inlineStr">
        <is>
          <t xml:space="preserve">     the plan if you'd pay on one. The verdict tells you if it's a real deal, a small one, or not a deal at all.</t>
        </is>
      </c>
      <c r="C14" s="1" t="n"/>
    </row>
    <row r="15">
      <c r="A15" s="1" t="n"/>
      <c r="B15" s="45" t="inlineStr">
        <is>
          <t>5. Dashboard: budget left, what your holiday plans add to January and February, the costliest plan, and trials to cancel.</t>
        </is>
      </c>
      <c r="C15" s="1" t="n"/>
    </row>
    <row r="16">
      <c r="A16" s="1" t="n"/>
      <c r="B16" s="46" t="inlineStr">
        <is>
          <t xml:space="preserve">   • Use the filter buttons on each table's header row (or the filter bars above it in Google Sheets).</t>
        </is>
      </c>
      <c r="C16" s="1" t="n"/>
    </row>
    <row r="17">
      <c r="A17" s="1" t="n"/>
      <c r="B17" s="46" t="inlineStr"/>
      <c r="C17" s="1" t="n"/>
    </row>
    <row r="18">
      <c r="A18" s="1" t="n"/>
      <c r="B18" s="46" t="inlineStr">
        <is>
          <t>The example rows are made up. Replace or delete them.</t>
        </is>
      </c>
      <c r="C18" s="1" t="n"/>
    </row>
    <row r="19">
      <c r="A19" s="1" t="n"/>
      <c r="B19" s="46" t="inlineStr"/>
      <c r="C19" s="1" t="n"/>
    </row>
    <row r="20">
      <c r="A20" s="1" t="n"/>
      <c r="B20" s="46" t="inlineStr">
        <is>
          <t>Estimates only. Not financial advice. Real APR is an estimate from your payment schedule and does not include fees charged separately.</t>
        </is>
      </c>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sheetData>
  <pageMargins left="0.75" right="0.75" top="1" bottom="1" header="0.5" footer="0.5"/>
</worksheet>
</file>

<file path=xl/worksheets/sheet3.xml><?xml version="1.0" encoding="utf-8"?>
<worksheet xmlns="http://schemas.openxmlformats.org/spreadsheetml/2006/main">
  <sheetPr>
    <tabColor rgb="002F4838"/>
    <outlinePr summaryBelow="1" summaryRight="1"/>
    <pageSetUpPr/>
  </sheetPr>
  <dimension ref="A1:I26"/>
  <sheetViews>
    <sheetView showGridLines="0" workbookViewId="0">
      <selection activeCell="A1" sqref="A1"/>
    </sheetView>
  </sheetViews>
  <sheetFormatPr baseColWidth="8" defaultRowHeight="15"/>
  <cols>
    <col width="3" customWidth="1" min="1" max="1"/>
    <col width="30" customWidth="1" min="2" max="2"/>
    <col width="18" customWidth="1" min="3" max="3"/>
    <col width="15" customWidth="1" min="4" max="4"/>
    <col width="17" customWidth="1" min="5" max="5"/>
    <col width="13" customWidth="1" min="6" max="6"/>
    <col width="11" customWidth="1" min="7" max="7"/>
    <col width="44" customWidth="1" min="8" max="8"/>
  </cols>
  <sheetData>
    <row r="1">
      <c r="A1" s="1" t="n"/>
      <c r="B1" s="1" t="n"/>
      <c r="C1" s="1" t="n"/>
      <c r="D1" s="1" t="n"/>
      <c r="E1" s="1" t="n"/>
      <c r="F1" s="1" t="n"/>
      <c r="G1" s="1" t="n"/>
      <c r="H1" s="1" t="n"/>
      <c r="I1" s="1" t="n"/>
    </row>
    <row r="2" ht="30" customHeight="1">
      <c r="A2" s="1" t="n"/>
      <c r="B2" s="44" t="inlineStr">
        <is>
          <t>Settings</t>
        </is>
      </c>
      <c r="C2" s="1" t="n"/>
      <c r="D2" s="1" t="n"/>
      <c r="E2" s="1" t="n"/>
      <c r="F2" s="1" t="n"/>
      <c r="G2" s="1" t="n"/>
      <c r="H2" s="1" t="n"/>
      <c r="I2" s="1" t="n"/>
    </row>
    <row r="3">
      <c r="A3" s="1" t="n"/>
      <c r="B3" s="5" t="inlineStr">
        <is>
          <t>Gold-header cells are yours to edit.</t>
        </is>
      </c>
      <c r="C3" s="1" t="n"/>
      <c r="D3" s="1" t="n"/>
      <c r="E3" s="1" t="n"/>
      <c r="F3" s="1" t="n"/>
      <c r="G3" s="1" t="n"/>
      <c r="H3" s="1" t="n"/>
      <c r="I3" s="1" t="n"/>
    </row>
    <row r="4" ht="34" customHeight="1">
      <c r="A4" s="1" t="n"/>
      <c r="B4" s="27" t="inlineStr">
        <is>
          <t>SETTING</t>
        </is>
      </c>
      <c r="C4" s="27" t="inlineStr">
        <is>
          <t>VALUE</t>
        </is>
      </c>
      <c r="D4" s="47" t="inlineStr">
        <is>
          <t>WHAT IT DOES</t>
        </is>
      </c>
      <c r="E4" s="48" t="n"/>
      <c r="F4" s="48" t="n"/>
      <c r="G4" s="48" t="n"/>
      <c r="H4" s="49" t="n"/>
      <c r="I4" s="1" t="n"/>
    </row>
    <row r="5" ht="22" customHeight="1">
      <c r="A5" s="1" t="n"/>
      <c r="B5" s="20" t="inlineStr">
        <is>
          <t>Holiday budget</t>
        </is>
      </c>
      <c r="C5" s="50" t="n">
        <v>1500</v>
      </c>
      <c r="D5" s="51" t="inlineStr">
        <is>
          <t>Everything you plan to spend on gifts this season.</t>
        </is>
      </c>
      <c r="I5" s="1" t="n"/>
    </row>
    <row r="6" ht="22" customHeight="1">
      <c r="A6" s="1" t="n"/>
      <c r="B6" s="20" t="inlineStr">
        <is>
          <t>Monthly take-home income</t>
        </is>
      </c>
      <c r="C6" s="50" t="n">
        <v>4200</v>
      </c>
      <c r="D6" s="51" t="inlineStr">
        <is>
          <t>Income after tax, per month. Used for the share-of-income figures.</t>
        </is>
      </c>
      <c r="I6" s="1" t="n"/>
    </row>
    <row r="7" ht="22" customHeight="1">
      <c r="A7" s="1" t="n"/>
      <c r="B7" s="20" t="inlineStr">
        <is>
          <t>First month to plan</t>
        </is>
      </c>
      <c r="C7" s="52" t="n">
        <v>46357</v>
      </c>
      <c r="D7" s="51" t="inlineStr">
        <is>
          <t>The month-by-month bill starts here and runs 5 months.</t>
        </is>
      </c>
      <c r="I7" s="1" t="n"/>
    </row>
    <row r="8" ht="22" customHeight="1">
      <c r="A8" s="1" t="n"/>
      <c r="B8" s="20" t="inlineStr">
        <is>
          <t>High-cost APR (berry flag)</t>
        </is>
      </c>
      <c r="C8" s="53" t="n">
        <v>0.2</v>
      </c>
      <c r="D8" s="51" t="inlineStr">
        <is>
          <t>Any plan at or above this real APR is flagged HIGH.</t>
        </is>
      </c>
      <c r="I8" s="1" t="n"/>
    </row>
    <row r="9" ht="22" customHeight="1">
      <c r="A9" s="1" t="n"/>
      <c r="B9" s="20" t="inlineStr">
        <is>
          <t>Check APR (gold flag)</t>
        </is>
      </c>
      <c r="C9" s="53" t="n">
        <v>0.1</v>
      </c>
      <c r="D9" s="51" t="inlineStr">
        <is>
          <t>At or above this real APR is flagged CHECK.</t>
        </is>
      </c>
      <c r="I9" s="1" t="n"/>
    </row>
    <row r="10" ht="22" customHeight="1">
      <c r="A10" s="1" t="n"/>
      <c r="B10" s="20" t="inlineStr">
        <is>
          <t>Warn me this many days ahead</t>
        </is>
      </c>
      <c r="C10" s="54" t="n">
        <v>7</v>
      </c>
      <c r="D10" s="51" t="inlineStr">
        <is>
          <t>Free trials ending within this many days are highlighted.</t>
        </is>
      </c>
      <c r="I10" s="1" t="n"/>
    </row>
    <row r="11" ht="22" customHeight="1">
      <c r="A11" s="1" t="n"/>
      <c r="B11" s="20" t="inlineStr">
        <is>
          <t>Today's date</t>
        </is>
      </c>
      <c r="C11" s="55">
        <f>TODAY()</f>
        <v/>
      </c>
      <c r="D11" s="51" t="inlineStr">
        <is>
          <t>Updates automatically. Every date calculation uses it.</t>
        </is>
      </c>
      <c r="I11" s="1" t="n"/>
    </row>
    <row r="12">
      <c r="A12" s="1" t="n"/>
      <c r="B12" s="1" t="n"/>
      <c r="C12" s="1" t="n"/>
      <c r="D12" s="1" t="n"/>
      <c r="E12" s="1" t="n"/>
      <c r="F12" s="1" t="n"/>
      <c r="G12" s="1" t="n"/>
      <c r="H12" s="1" t="n"/>
      <c r="I12" s="1" t="n"/>
    </row>
    <row r="13" ht="34" customHeight="1">
      <c r="A13" s="1" t="n"/>
      <c r="B13" s="47" t="inlineStr">
        <is>
          <t>RELATIONSHIP</t>
        </is>
      </c>
      <c r="C13" s="47" t="inlineStr">
        <is>
          <t>PAID WITH</t>
        </is>
      </c>
      <c r="D13" s="47" t="inlineStr">
        <is>
          <t>GIFT STATUS</t>
        </is>
      </c>
      <c r="E13" s="47" t="inlineStr">
        <is>
          <t>PLAN TYPE</t>
        </is>
      </c>
      <c r="F13" s="47" t="inlineStr">
        <is>
          <t>PAYS EVERY</t>
        </is>
      </c>
      <c r="G13" s="47" t="inlineStr">
        <is>
          <t>BILLING</t>
        </is>
      </c>
      <c r="H13" s="1" t="n"/>
      <c r="I13" s="1" t="n"/>
    </row>
    <row r="14">
      <c r="A14" s="1" t="n"/>
      <c r="B14" s="56" t="inlineStr">
        <is>
          <t>Family</t>
        </is>
      </c>
      <c r="C14" s="56" t="inlineStr">
        <is>
          <t>Cash / debit</t>
        </is>
      </c>
      <c r="D14" s="56" t="inlineStr">
        <is>
          <t>Idea</t>
        </is>
      </c>
      <c r="E14" s="56" t="inlineStr">
        <is>
          <t>Pay-in-4</t>
        </is>
      </c>
      <c r="F14" s="56" t="inlineStr">
        <is>
          <t>2 weeks</t>
        </is>
      </c>
      <c r="G14" s="56" t="inlineStr">
        <is>
          <t>Weekly</t>
        </is>
      </c>
      <c r="H14" s="51" t="inlineStr">
        <is>
          <t>Rename or add items here and the drop-downs follow.</t>
        </is>
      </c>
      <c r="I14" s="1" t="n"/>
    </row>
    <row r="15">
      <c r="A15" s="1" t="n"/>
      <c r="B15" s="57" t="inlineStr">
        <is>
          <t>Partner</t>
        </is>
      </c>
      <c r="C15" s="57" t="inlineStr">
        <is>
          <t>Credit card</t>
        </is>
      </c>
      <c r="D15" s="57" t="inlineStr">
        <is>
          <t>Bought</t>
        </is>
      </c>
      <c r="E15" s="57" t="inlineStr">
        <is>
          <t>Monthly BNPL</t>
        </is>
      </c>
      <c r="F15" s="57" t="inlineStr">
        <is>
          <t>Month</t>
        </is>
      </c>
      <c r="G15" s="57" t="inlineStr">
        <is>
          <t>Monthly</t>
        </is>
      </c>
      <c r="H15" s="51" t="inlineStr">
        <is>
          <t>Keep the Paid with names Pay-in-4, Monthly BNPL and Store financing:</t>
        </is>
      </c>
      <c r="I15" s="1" t="n"/>
    </row>
    <row r="16">
      <c r="A16" s="1" t="n"/>
      <c r="B16" s="56" t="inlineStr">
        <is>
          <t>Kids</t>
        </is>
      </c>
      <c r="C16" s="56" t="inlineStr">
        <is>
          <t>Pay-in-4</t>
        </is>
      </c>
      <c r="D16" s="56" t="inlineStr">
        <is>
          <t>Wrapped</t>
        </is>
      </c>
      <c r="E16" s="56" t="inlineStr">
        <is>
          <t>Store financing</t>
        </is>
      </c>
      <c r="F16" s="56" t="n"/>
      <c r="G16" s="56" t="inlineStr">
        <is>
          <t>Yearly</t>
        </is>
      </c>
      <c r="H16" s="51" t="inlineStr">
        <is>
          <t>the Gift List uses them to mark gifts that are on a payment plan.</t>
        </is>
      </c>
      <c r="I16" s="1" t="n"/>
    </row>
    <row r="17">
      <c r="A17" s="1" t="n"/>
      <c r="B17" s="57" t="inlineStr">
        <is>
          <t>Friend</t>
        </is>
      </c>
      <c r="C17" s="57" t="inlineStr">
        <is>
          <t>Monthly BNPL</t>
        </is>
      </c>
      <c r="D17" s="57" t="inlineStr">
        <is>
          <t>Given</t>
        </is>
      </c>
      <c r="E17" s="57" t="inlineStr">
        <is>
          <t>Credit card plan</t>
        </is>
      </c>
      <c r="F17" s="57" t="n"/>
      <c r="G17" s="57" t="n"/>
      <c r="H17" s="1" t="n"/>
      <c r="I17" s="1" t="n"/>
    </row>
    <row r="18">
      <c r="A18" s="1" t="n"/>
      <c r="B18" s="56" t="inlineStr">
        <is>
          <t>Coworker</t>
        </is>
      </c>
      <c r="C18" s="56" t="inlineStr">
        <is>
          <t>Store financing</t>
        </is>
      </c>
      <c r="D18" s="56" t="n"/>
      <c r="E18" s="56" t="inlineStr">
        <is>
          <t>Other</t>
        </is>
      </c>
      <c r="F18" s="56" t="n"/>
      <c r="G18" s="56" t="n"/>
      <c r="H18" s="1" t="n"/>
      <c r="I18" s="1" t="n"/>
    </row>
    <row r="19">
      <c r="A19" s="1" t="n"/>
      <c r="B19" s="57" t="inlineStr">
        <is>
          <t>Other</t>
        </is>
      </c>
      <c r="C19" s="57" t="inlineStr">
        <is>
          <t>Gift card</t>
        </is>
      </c>
      <c r="D19" s="57" t="n"/>
      <c r="E19" s="57" t="n"/>
      <c r="F19" s="57" t="n"/>
      <c r="G19" s="57" t="n"/>
      <c r="H19" s="1" t="n"/>
      <c r="I19" s="1" t="n"/>
    </row>
    <row r="20">
      <c r="A20" s="1" t="n"/>
      <c r="B20" s="56" t="n"/>
      <c r="C20" s="56" t="inlineStr">
        <is>
          <t>Other</t>
        </is>
      </c>
      <c r="D20" s="56" t="n"/>
      <c r="E20" s="56" t="n"/>
      <c r="F20" s="56" t="n"/>
      <c r="G20" s="56" t="n"/>
      <c r="H20" s="1" t="n"/>
      <c r="I20" s="1" t="n"/>
    </row>
    <row r="21">
      <c r="A21" s="1" t="n"/>
      <c r="B21" s="57" t="n"/>
      <c r="C21" s="57" t="n"/>
      <c r="D21" s="57" t="n"/>
      <c r="E21" s="57" t="n"/>
      <c r="F21" s="57" t="n"/>
      <c r="G21" s="57" t="n"/>
      <c r="H21" s="1" t="n"/>
      <c r="I21" s="1" t="n"/>
    </row>
    <row r="22">
      <c r="A22" s="1" t="n"/>
      <c r="B22" s="1" t="n"/>
      <c r="C22" s="1" t="n"/>
      <c r="D22" s="1" t="n"/>
      <c r="E22" s="1" t="n"/>
      <c r="F22" s="1" t="n"/>
      <c r="G22" s="1" t="n"/>
      <c r="H22" s="1" t="n"/>
      <c r="I22" s="1" t="n"/>
    </row>
    <row r="23">
      <c r="A23" s="1" t="n"/>
      <c r="B23" s="1" t="n"/>
      <c r="C23" s="1" t="n"/>
      <c r="D23" s="1" t="n"/>
      <c r="E23" s="1" t="n"/>
      <c r="F23" s="1" t="n"/>
      <c r="G23" s="1" t="n"/>
      <c r="H23" s="1" t="n"/>
      <c r="I23" s="1" t="n"/>
    </row>
    <row r="24">
      <c r="A24" s="1" t="n"/>
      <c r="B24" s="1" t="n"/>
      <c r="C24" s="1" t="n"/>
      <c r="D24" s="1" t="n"/>
      <c r="E24" s="1" t="n"/>
      <c r="F24" s="1" t="n"/>
      <c r="G24" s="1" t="n"/>
      <c r="H24" s="1" t="n"/>
      <c r="I24" s="1" t="n"/>
    </row>
    <row r="25">
      <c r="A25" s="1" t="n"/>
      <c r="B25" s="1" t="n"/>
      <c r="C25" s="1" t="n"/>
      <c r="D25" s="1" t="n"/>
      <c r="E25" s="1" t="n"/>
      <c r="F25" s="1" t="n"/>
      <c r="G25" s="1" t="n"/>
      <c r="H25" s="1" t="n"/>
      <c r="I25" s="1" t="n"/>
    </row>
    <row r="26">
      <c r="A26" s="1" t="n"/>
      <c r="B26" s="1" t="n"/>
      <c r="C26" s="1" t="n"/>
      <c r="D26" s="1" t="n"/>
      <c r="E26" s="1" t="n"/>
      <c r="F26" s="1" t="n"/>
      <c r="G26" s="1" t="n"/>
      <c r="H26" s="1" t="n"/>
      <c r="I26" s="1" t="n"/>
    </row>
  </sheetData>
  <mergeCells count="8">
    <mergeCell ref="D7:H7"/>
    <mergeCell ref="D8:H8"/>
    <mergeCell ref="D6:H6"/>
    <mergeCell ref="D10:H10"/>
    <mergeCell ref="D11:H11"/>
    <mergeCell ref="D5:H5"/>
    <mergeCell ref="D4:H4"/>
    <mergeCell ref="D9:H9"/>
  </mergeCells>
  <pageMargins left="0.75" right="0.75" top="1" bottom="1" header="0.5" footer="0.5"/>
</worksheet>
</file>

<file path=xl/worksheets/sheet4.xml><?xml version="1.0" encoding="utf-8"?>
<worksheet xmlns="http://schemas.openxmlformats.org/spreadsheetml/2006/main">
  <sheetPr>
    <tabColor rgb="00E2687B"/>
    <outlinePr summaryBelow="1" summaryRight="1"/>
    <pageSetUpPr/>
  </sheetPr>
  <dimension ref="A1:M57"/>
  <sheetViews>
    <sheetView showGridLines="0" workbookViewId="0">
      <selection activeCell="A1" sqref="A1"/>
    </sheetView>
  </sheetViews>
  <sheetFormatPr baseColWidth="8" defaultRowHeight="15"/>
  <cols>
    <col width="3" customWidth="1" min="1" max="1"/>
    <col width="18" customWidth="1" min="2" max="2"/>
    <col width="13" customWidth="1" min="3" max="3"/>
    <col width="26" customWidth="1" min="4" max="4"/>
    <col width="11" customWidth="1" min="5" max="5"/>
    <col width="11" customWidth="1" min="6" max="6"/>
    <col width="16" customWidth="1" min="7" max="7"/>
    <col width="11" customWidth="1" min="8" max="8"/>
    <col width="22" customWidth="1" min="9" max="9"/>
    <col width="12" customWidth="1" min="10" max="10"/>
    <col width="12" customWidth="1" min="11" max="11"/>
    <col hidden="1" width="4" customWidth="1" min="12" max="12"/>
  </cols>
  <sheetData>
    <row r="1">
      <c r="A1" s="1" t="n"/>
      <c r="B1" s="1" t="n"/>
      <c r="C1" s="1" t="n"/>
      <c r="D1" s="1" t="n"/>
      <c r="E1" s="1" t="n"/>
      <c r="F1" s="1" t="n"/>
      <c r="G1" s="1" t="n"/>
      <c r="H1" s="1" t="n"/>
      <c r="I1" s="1" t="n"/>
      <c r="J1" s="1" t="n"/>
      <c r="K1" s="1" t="n"/>
      <c r="L1" s="1" t="n"/>
      <c r="M1" s="1" t="n"/>
    </row>
    <row r="2" ht="30" customHeight="1">
      <c r="A2" s="1" t="n"/>
      <c r="B2" s="44" t="inlineStr">
        <is>
          <t>Gift List</t>
        </is>
      </c>
      <c r="C2" s="1" t="n"/>
      <c r="D2" s="1" t="n"/>
      <c r="E2" s="1" t="n"/>
      <c r="F2" s="1" t="n"/>
      <c r="G2" s="1" t="n"/>
      <c r="H2" s="43" t="inlineStr">
        <is>
          <t>GOLD headers: you fill in   ·   BERRY headers: calculated for you</t>
        </is>
      </c>
      <c r="I2" s="1" t="n"/>
      <c r="J2" s="1" t="n"/>
      <c r="K2" s="1" t="n"/>
      <c r="L2" s="1" t="n"/>
      <c r="M2" s="1" t="n"/>
    </row>
    <row r="3">
      <c r="A3" s="1" t="n"/>
      <c r="B3" s="58">
        <f>COUNTA('Gift List'!$B$6:$B$55)&amp;" gifts   ·   spent "&amp;TEXT(SUM('Gift List'!$F$6:$F$55),"$#,##0")&amp;" of "&amp;TEXT(Settings!$C$5,"$#,##0")&amp;"   ·   "&amp;IF(Settings!$C$5-SUM('Gift List'!$F$6:$F$55)&gt;=0,TEXT(Settings!$C$5-SUM('Gift List'!$F$6:$F$55),"$#,##0")&amp;" left",TEXT(SUM('Gift List'!$F$6:$F$55)-Settings!$C$5,"$#,##0")&amp;" over budget")&amp;"   ·   "&amp;COUNTIF('Gift List'!$K$6:$K$55,"On a plan")&amp;" on a payment plan"</f>
        <v/>
      </c>
      <c r="C3" s="1" t="n"/>
      <c r="D3" s="1" t="n"/>
      <c r="E3" s="1" t="n"/>
      <c r="F3" s="1" t="n"/>
      <c r="G3" s="1" t="n"/>
      <c r="H3" s="1" t="n"/>
      <c r="I3" s="1" t="n"/>
      <c r="J3" s="1" t="n"/>
      <c r="K3" s="1" t="n"/>
      <c r="L3" s="1" t="n"/>
      <c r="M3" s="1" t="n"/>
    </row>
    <row r="4" ht="40" customHeight="1">
      <c r="A4" s="1" t="n"/>
      <c r="B4" s="1" t="n"/>
      <c r="C4" s="1" t="n"/>
      <c r="D4" s="1" t="n"/>
      <c r="E4" s="1" t="n"/>
      <c r="F4" s="1" t="n"/>
      <c r="G4" s="1" t="n"/>
      <c r="H4" s="1" t="n"/>
      <c r="I4" s="1" t="n"/>
      <c r="J4" s="1" t="n"/>
      <c r="K4" s="1" t="n"/>
      <c r="L4" s="1" t="n"/>
      <c r="M4" s="1" t="n"/>
    </row>
    <row r="5" ht="34" customHeight="1">
      <c r="A5" s="1" t="n"/>
      <c r="B5" s="27" t="inlineStr">
        <is>
          <t>RECIPIENT</t>
        </is>
      </c>
      <c r="C5" s="27" t="inlineStr">
        <is>
          <t>RELATIONSHIP</t>
        </is>
      </c>
      <c r="D5" s="27" t="inlineStr">
        <is>
          <t>GIFT</t>
        </is>
      </c>
      <c r="E5" s="27" t="inlineStr">
        <is>
          <t>BUDGET</t>
        </is>
      </c>
      <c r="F5" s="27" t="inlineStr">
        <is>
          <t>ACTUAL COST</t>
        </is>
      </c>
      <c r="G5" s="27" t="inlineStr">
        <is>
          <t>PAID WITH</t>
        </is>
      </c>
      <c r="H5" s="27" t="inlineStr">
        <is>
          <t>STATUS</t>
        </is>
      </c>
      <c r="I5" s="27" t="inlineStr">
        <is>
          <t>WHERE / NOTES</t>
        </is>
      </c>
      <c r="J5" s="19" t="inlineStr">
        <is>
          <t>OVER / UNDER</t>
        </is>
      </c>
      <c r="K5" s="19" t="inlineStr">
        <is>
          <t>PAYMENT PLAN</t>
        </is>
      </c>
      <c r="L5" s="1" t="inlineStr">
        <is>
          <t>key</t>
        </is>
      </c>
      <c r="M5" s="1" t="n"/>
    </row>
    <row r="6" ht="22" customHeight="1">
      <c r="A6" s="1" t="n"/>
      <c r="B6" s="56" t="inlineStr">
        <is>
          <t>Mom</t>
        </is>
      </c>
      <c r="C6" s="59" t="inlineStr">
        <is>
          <t>Family</t>
        </is>
      </c>
      <c r="D6" s="56" t="inlineStr">
        <is>
          <t>Cashmere scarf</t>
        </is>
      </c>
      <c r="E6" s="60" t="n">
        <v>80</v>
      </c>
      <c r="F6" s="60" t="n">
        <v>74</v>
      </c>
      <c r="G6" s="59" t="inlineStr">
        <is>
          <t>Credit card</t>
        </is>
      </c>
      <c r="H6" s="59" t="inlineStr">
        <is>
          <t>Bought</t>
        </is>
      </c>
      <c r="I6" s="56" t="inlineStr"/>
      <c r="J6" s="21">
        <f>IF(AND(ISNUMBER($E6),ISNUMBER($F6)),$E6-$F6,"")</f>
        <v/>
      </c>
      <c r="K6" s="33">
        <f>IF(OR($G6="Pay-in-4",$G6="Monthly BNPL",$G6="Store financing"),"On a plan","")</f>
        <v/>
      </c>
      <c r="L6" s="1">
        <f>IF(AND($H6="Idea",ISNUMBER($E6)),$E6+ROW()/100000,"")</f>
        <v/>
      </c>
      <c r="M6" s="1" t="n"/>
    </row>
    <row r="7" ht="22" customHeight="1">
      <c r="A7" s="1" t="n"/>
      <c r="B7" s="57" t="inlineStr">
        <is>
          <t>Dad</t>
        </is>
      </c>
      <c r="C7" s="61" t="inlineStr">
        <is>
          <t>Family</t>
        </is>
      </c>
      <c r="D7" s="57" t="inlineStr">
        <is>
          <t>Smart watch</t>
        </is>
      </c>
      <c r="E7" s="62" t="n">
        <v>250</v>
      </c>
      <c r="F7" s="62" t="n">
        <v>279</v>
      </c>
      <c r="G7" s="61" t="inlineStr">
        <is>
          <t>Pay-in-4</t>
        </is>
      </c>
      <c r="H7" s="61" t="inlineStr">
        <is>
          <t>Bought</t>
        </is>
      </c>
      <c r="I7" s="57" t="inlineStr">
        <is>
          <t>Black Friday deal</t>
        </is>
      </c>
      <c r="J7" s="24">
        <f>IF(AND(ISNUMBER($E7),ISNUMBER($F7)),$E7-$F7,"")</f>
        <v/>
      </c>
      <c r="K7" s="35">
        <f>IF(OR($G7="Pay-in-4",$G7="Monthly BNPL",$G7="Store financing"),"On a plan","")</f>
        <v/>
      </c>
      <c r="L7" s="1">
        <f>IF(AND($H7="Idea",ISNUMBER($E7)),$E7+ROW()/100000,"")</f>
        <v/>
      </c>
      <c r="M7" s="1" t="n"/>
    </row>
    <row r="8" ht="22" customHeight="1">
      <c r="A8" s="1" t="n"/>
      <c r="B8" s="56" t="inlineStr">
        <is>
          <t>Alex</t>
        </is>
      </c>
      <c r="C8" s="59" t="inlineStr">
        <is>
          <t>Partner</t>
        </is>
      </c>
      <c r="D8" s="56" t="inlineStr">
        <is>
          <t>4K TV</t>
        </is>
      </c>
      <c r="E8" s="60" t="n">
        <v>600</v>
      </c>
      <c r="F8" s="60" t="n">
        <v>649</v>
      </c>
      <c r="G8" s="59" t="inlineStr">
        <is>
          <t>Store financing</t>
        </is>
      </c>
      <c r="H8" s="59" t="inlineStr">
        <is>
          <t>Bought</t>
        </is>
      </c>
      <c r="I8" s="56" t="inlineStr">
        <is>
          <t>12 monthly payments</t>
        </is>
      </c>
      <c r="J8" s="21">
        <f>IF(AND(ISNUMBER($E8),ISNUMBER($F8)),$E8-$F8,"")</f>
        <v/>
      </c>
      <c r="K8" s="33">
        <f>IF(OR($G8="Pay-in-4",$G8="Monthly BNPL",$G8="Store financing"),"On a plan","")</f>
        <v/>
      </c>
      <c r="L8" s="1">
        <f>IF(AND($H8="Idea",ISNUMBER($E8)),$E8+ROW()/100000,"")</f>
        <v/>
      </c>
      <c r="M8" s="1" t="n"/>
    </row>
    <row r="9" ht="22" customHeight="1">
      <c r="A9" s="1" t="n"/>
      <c r="B9" s="57" t="inlineStr">
        <is>
          <t>Sam</t>
        </is>
      </c>
      <c r="C9" s="61" t="inlineStr">
        <is>
          <t>Kids</t>
        </is>
      </c>
      <c r="D9" s="57" t="inlineStr">
        <is>
          <t>Game console</t>
        </is>
      </c>
      <c r="E9" s="62" t="n">
        <v>450</v>
      </c>
      <c r="F9" s="62" t="n">
        <v>499</v>
      </c>
      <c r="G9" s="61" t="inlineStr">
        <is>
          <t>Monthly BNPL</t>
        </is>
      </c>
      <c r="H9" s="61" t="inlineStr">
        <is>
          <t>Wrapped</t>
        </is>
      </c>
      <c r="I9" s="57" t="inlineStr"/>
      <c r="J9" s="24">
        <f>IF(AND(ISNUMBER($E9),ISNUMBER($F9)),$E9-$F9,"")</f>
        <v/>
      </c>
      <c r="K9" s="35">
        <f>IF(OR($G9="Pay-in-4",$G9="Monthly BNPL",$G9="Store financing"),"On a plan","")</f>
        <v/>
      </c>
      <c r="L9" s="1">
        <f>IF(AND($H9="Idea",ISNUMBER($E9)),$E9+ROW()/100000,"")</f>
        <v/>
      </c>
      <c r="M9" s="1" t="n"/>
    </row>
    <row r="10" ht="22" customHeight="1">
      <c r="A10" s="1" t="n"/>
      <c r="B10" s="56" t="inlineStr">
        <is>
          <t>Jordan</t>
        </is>
      </c>
      <c r="C10" s="59" t="inlineStr">
        <is>
          <t>Friend</t>
        </is>
      </c>
      <c r="D10" s="56" t="inlineStr">
        <is>
          <t>Concert tickets</t>
        </is>
      </c>
      <c r="E10" s="60" t="n">
        <v>120</v>
      </c>
      <c r="F10" s="60" t="n">
        <v>140</v>
      </c>
      <c r="G10" s="59" t="inlineStr">
        <is>
          <t>Credit card</t>
        </is>
      </c>
      <c r="H10" s="59" t="inlineStr">
        <is>
          <t>Bought</t>
        </is>
      </c>
      <c r="I10" s="56" t="inlineStr"/>
      <c r="J10" s="21">
        <f>IF(AND(ISNUMBER($E10),ISNUMBER($F10)),$E10-$F10,"")</f>
        <v/>
      </c>
      <c r="K10" s="33">
        <f>IF(OR($G10="Pay-in-4",$G10="Monthly BNPL",$G10="Store financing"),"On a plan","")</f>
        <v/>
      </c>
      <c r="L10" s="1">
        <f>IF(AND($H10="Idea",ISNUMBER($E10)),$E10+ROW()/100000,"")</f>
        <v/>
      </c>
      <c r="M10" s="1" t="n"/>
    </row>
    <row r="11" ht="22" customHeight="1">
      <c r="A11" s="1" t="n"/>
      <c r="B11" s="57" t="inlineStr">
        <is>
          <t>Grandma</t>
        </is>
      </c>
      <c r="C11" s="61" t="inlineStr">
        <is>
          <t>Family</t>
        </is>
      </c>
      <c r="D11" s="57" t="inlineStr">
        <is>
          <t>Photo book</t>
        </is>
      </c>
      <c r="E11" s="62" t="n">
        <v>40</v>
      </c>
      <c r="F11" s="62" t="n">
        <v>38</v>
      </c>
      <c r="G11" s="61" t="inlineStr">
        <is>
          <t>Cash / debit</t>
        </is>
      </c>
      <c r="H11" s="61" t="inlineStr">
        <is>
          <t>Wrapped</t>
        </is>
      </c>
      <c r="I11" s="57" t="inlineStr"/>
      <c r="J11" s="24">
        <f>IF(AND(ISNUMBER($E11),ISNUMBER($F11)),$E11-$F11,"")</f>
        <v/>
      </c>
      <c r="K11" s="35">
        <f>IF(OR($G11="Pay-in-4",$G11="Monthly BNPL",$G11="Store financing"),"On a plan","")</f>
        <v/>
      </c>
      <c r="L11" s="1">
        <f>IF(AND($H11="Idea",ISNUMBER($E11)),$E11+ROW()/100000,"")</f>
        <v/>
      </c>
      <c r="M11" s="1" t="n"/>
    </row>
    <row r="12" ht="22" customHeight="1">
      <c r="A12" s="1" t="n"/>
      <c r="B12" s="56" t="inlineStr">
        <is>
          <t>Office gift swap</t>
        </is>
      </c>
      <c r="C12" s="59" t="inlineStr">
        <is>
          <t>Coworker</t>
        </is>
      </c>
      <c r="D12" s="56" t="inlineStr">
        <is>
          <t>Candle set</t>
        </is>
      </c>
      <c r="E12" s="60" t="n">
        <v>25</v>
      </c>
      <c r="F12" s="60" t="n">
        <v>25</v>
      </c>
      <c r="G12" s="59" t="inlineStr">
        <is>
          <t>Cash / debit</t>
        </is>
      </c>
      <c r="H12" s="59" t="inlineStr">
        <is>
          <t>Given</t>
        </is>
      </c>
      <c r="I12" s="56" t="inlineStr">
        <is>
          <t>$25 limit</t>
        </is>
      </c>
      <c r="J12" s="21">
        <f>IF(AND(ISNUMBER($E12),ISNUMBER($F12)),$E12-$F12,"")</f>
        <v/>
      </c>
      <c r="K12" s="33">
        <f>IF(OR($G12="Pay-in-4",$G12="Monthly BNPL",$G12="Store financing"),"On a plan","")</f>
        <v/>
      </c>
      <c r="L12" s="1">
        <f>IF(AND($H12="Idea",ISNUMBER($E12)),$E12+ROW()/100000,"")</f>
        <v/>
      </c>
      <c r="M12" s="1" t="n"/>
    </row>
    <row r="13" ht="22" customHeight="1">
      <c r="A13" s="1" t="n"/>
      <c r="B13" s="57" t="inlineStr">
        <is>
          <t>Teacher</t>
        </is>
      </c>
      <c r="C13" s="61" t="inlineStr">
        <is>
          <t>Other</t>
        </is>
      </c>
      <c r="D13" s="57" t="inlineStr">
        <is>
          <t>Coffee gift card</t>
        </is>
      </c>
      <c r="E13" s="62" t="n">
        <v>30</v>
      </c>
      <c r="F13" s="62" t="n">
        <v>30</v>
      </c>
      <c r="G13" s="61" t="inlineStr">
        <is>
          <t>Gift card</t>
        </is>
      </c>
      <c r="H13" s="61" t="inlineStr">
        <is>
          <t>Bought</t>
        </is>
      </c>
      <c r="I13" s="57" t="inlineStr"/>
      <c r="J13" s="24">
        <f>IF(AND(ISNUMBER($E13),ISNUMBER($F13)),$E13-$F13,"")</f>
        <v/>
      </c>
      <c r="K13" s="35">
        <f>IF(OR($G13="Pay-in-4",$G13="Monthly BNPL",$G13="Store financing"),"On a plan","")</f>
        <v/>
      </c>
      <c r="L13" s="1">
        <f>IF(AND($H13="Idea",ISNUMBER($E13)),$E13+ROW()/100000,"")</f>
        <v/>
      </c>
      <c r="M13" s="1" t="n"/>
    </row>
    <row r="14" ht="22" customHeight="1">
      <c r="A14" s="1" t="n"/>
      <c r="B14" s="56" t="inlineStr">
        <is>
          <t>Sister</t>
        </is>
      </c>
      <c r="C14" s="59" t="inlineStr">
        <is>
          <t>Family</t>
        </is>
      </c>
      <c r="D14" s="56" t="inlineStr">
        <is>
          <t>Skincare set</t>
        </is>
      </c>
      <c r="E14" s="60" t="n">
        <v>60</v>
      </c>
      <c r="F14" s="60" t="n"/>
      <c r="G14" s="59" t="n"/>
      <c r="H14" s="59" t="inlineStr">
        <is>
          <t>Idea</t>
        </is>
      </c>
      <c r="I14" s="56" t="inlineStr"/>
      <c r="J14" s="21">
        <f>IF(AND(ISNUMBER($E14),ISNUMBER($F14)),$E14-$F14,"")</f>
        <v/>
      </c>
      <c r="K14" s="33">
        <f>IF(OR($G14="Pay-in-4",$G14="Monthly BNPL",$G14="Store financing"),"On a plan","")</f>
        <v/>
      </c>
      <c r="L14" s="1">
        <f>IF(AND($H14="Idea",ISNUMBER($E14)),$E14+ROW()/100000,"")</f>
        <v/>
      </c>
      <c r="M14" s="1" t="n"/>
    </row>
    <row r="15" ht="22" customHeight="1">
      <c r="A15" s="1" t="n"/>
      <c r="B15" s="57" t="inlineStr">
        <is>
          <t>Nephew</t>
        </is>
      </c>
      <c r="C15" s="61" t="inlineStr">
        <is>
          <t>Kids</t>
        </is>
      </c>
      <c r="D15" s="57" t="inlineStr">
        <is>
          <t>Building block set</t>
        </is>
      </c>
      <c r="E15" s="62" t="n">
        <v>60</v>
      </c>
      <c r="F15" s="62" t="n"/>
      <c r="G15" s="61" t="n"/>
      <c r="H15" s="61" t="inlineStr">
        <is>
          <t>Idea</t>
        </is>
      </c>
      <c r="I15" s="57" t="inlineStr"/>
      <c r="J15" s="24">
        <f>IF(AND(ISNUMBER($E15),ISNUMBER($F15)),$E15-$F15,"")</f>
        <v/>
      </c>
      <c r="K15" s="35">
        <f>IF(OR($G15="Pay-in-4",$G15="Monthly BNPL",$G15="Store financing"),"On a plan","")</f>
        <v/>
      </c>
      <c r="L15" s="1">
        <f>IF(AND($H15="Idea",ISNUMBER($E15)),$E15+ROW()/100000,"")</f>
        <v/>
      </c>
      <c r="M15" s="1" t="n"/>
    </row>
    <row r="16" ht="22" customHeight="1">
      <c r="A16" s="1" t="n"/>
      <c r="B16" s="56" t="n"/>
      <c r="C16" s="59" t="n"/>
      <c r="D16" s="56" t="n"/>
      <c r="E16" s="60" t="n"/>
      <c r="F16" s="60" t="n"/>
      <c r="G16" s="59" t="n"/>
      <c r="H16" s="59" t="n"/>
      <c r="I16" s="56" t="n"/>
      <c r="J16" s="21">
        <f>IF(AND(ISNUMBER($E16),ISNUMBER($F16)),$E16-$F16,"")</f>
        <v/>
      </c>
      <c r="K16" s="33">
        <f>IF(OR($G16="Pay-in-4",$G16="Monthly BNPL",$G16="Store financing"),"On a plan","")</f>
        <v/>
      </c>
      <c r="L16" s="1">
        <f>IF(AND($H16="Idea",ISNUMBER($E16)),$E16+ROW()/100000,"")</f>
        <v/>
      </c>
      <c r="M16" s="1" t="n"/>
    </row>
    <row r="17" ht="22" customHeight="1">
      <c r="A17" s="1" t="n"/>
      <c r="B17" s="57" t="n"/>
      <c r="C17" s="61" t="n"/>
      <c r="D17" s="57" t="n"/>
      <c r="E17" s="62" t="n"/>
      <c r="F17" s="62" t="n"/>
      <c r="G17" s="61" t="n"/>
      <c r="H17" s="61" t="n"/>
      <c r="I17" s="57" t="n"/>
      <c r="J17" s="24">
        <f>IF(AND(ISNUMBER($E17),ISNUMBER($F17)),$E17-$F17,"")</f>
        <v/>
      </c>
      <c r="K17" s="35">
        <f>IF(OR($G17="Pay-in-4",$G17="Monthly BNPL",$G17="Store financing"),"On a plan","")</f>
        <v/>
      </c>
      <c r="L17" s="1">
        <f>IF(AND($H17="Idea",ISNUMBER($E17)),$E17+ROW()/100000,"")</f>
        <v/>
      </c>
      <c r="M17" s="1" t="n"/>
    </row>
    <row r="18" ht="22" customHeight="1">
      <c r="A18" s="1" t="n"/>
      <c r="B18" s="56" t="n"/>
      <c r="C18" s="59" t="n"/>
      <c r="D18" s="56" t="n"/>
      <c r="E18" s="60" t="n"/>
      <c r="F18" s="60" t="n"/>
      <c r="G18" s="59" t="n"/>
      <c r="H18" s="59" t="n"/>
      <c r="I18" s="56" t="n"/>
      <c r="J18" s="21">
        <f>IF(AND(ISNUMBER($E18),ISNUMBER($F18)),$E18-$F18,"")</f>
        <v/>
      </c>
      <c r="K18" s="33">
        <f>IF(OR($G18="Pay-in-4",$G18="Monthly BNPL",$G18="Store financing"),"On a plan","")</f>
        <v/>
      </c>
      <c r="L18" s="1">
        <f>IF(AND($H18="Idea",ISNUMBER($E18)),$E18+ROW()/100000,"")</f>
        <v/>
      </c>
      <c r="M18" s="1" t="n"/>
    </row>
    <row r="19" ht="22" customHeight="1">
      <c r="A19" s="1" t="n"/>
      <c r="B19" s="57" t="n"/>
      <c r="C19" s="61" t="n"/>
      <c r="D19" s="57" t="n"/>
      <c r="E19" s="62" t="n"/>
      <c r="F19" s="62" t="n"/>
      <c r="G19" s="61" t="n"/>
      <c r="H19" s="61" t="n"/>
      <c r="I19" s="57" t="n"/>
      <c r="J19" s="24">
        <f>IF(AND(ISNUMBER($E19),ISNUMBER($F19)),$E19-$F19,"")</f>
        <v/>
      </c>
      <c r="K19" s="35">
        <f>IF(OR($G19="Pay-in-4",$G19="Monthly BNPL",$G19="Store financing"),"On a plan","")</f>
        <v/>
      </c>
      <c r="L19" s="1">
        <f>IF(AND($H19="Idea",ISNUMBER($E19)),$E19+ROW()/100000,"")</f>
        <v/>
      </c>
      <c r="M19" s="1" t="n"/>
    </row>
    <row r="20" ht="22" customHeight="1">
      <c r="A20" s="1" t="n"/>
      <c r="B20" s="56" t="n"/>
      <c r="C20" s="59" t="n"/>
      <c r="D20" s="56" t="n"/>
      <c r="E20" s="60" t="n"/>
      <c r="F20" s="60" t="n"/>
      <c r="G20" s="59" t="n"/>
      <c r="H20" s="59" t="n"/>
      <c r="I20" s="56" t="n"/>
      <c r="J20" s="21">
        <f>IF(AND(ISNUMBER($E20),ISNUMBER($F20)),$E20-$F20,"")</f>
        <v/>
      </c>
      <c r="K20" s="33">
        <f>IF(OR($G20="Pay-in-4",$G20="Monthly BNPL",$G20="Store financing"),"On a plan","")</f>
        <v/>
      </c>
      <c r="L20" s="1">
        <f>IF(AND($H20="Idea",ISNUMBER($E20)),$E20+ROW()/100000,"")</f>
        <v/>
      </c>
      <c r="M20" s="1" t="n"/>
    </row>
    <row r="21" ht="22" customHeight="1">
      <c r="A21" s="1" t="n"/>
      <c r="B21" s="57" t="n"/>
      <c r="C21" s="61" t="n"/>
      <c r="D21" s="57" t="n"/>
      <c r="E21" s="62" t="n"/>
      <c r="F21" s="62" t="n"/>
      <c r="G21" s="61" t="n"/>
      <c r="H21" s="61" t="n"/>
      <c r="I21" s="57" t="n"/>
      <c r="J21" s="24">
        <f>IF(AND(ISNUMBER($E21),ISNUMBER($F21)),$E21-$F21,"")</f>
        <v/>
      </c>
      <c r="K21" s="35">
        <f>IF(OR($G21="Pay-in-4",$G21="Monthly BNPL",$G21="Store financing"),"On a plan","")</f>
        <v/>
      </c>
      <c r="L21" s="1">
        <f>IF(AND($H21="Idea",ISNUMBER($E21)),$E21+ROW()/100000,"")</f>
        <v/>
      </c>
      <c r="M21" s="1" t="n"/>
    </row>
    <row r="22" ht="22" customHeight="1">
      <c r="A22" s="1" t="n"/>
      <c r="B22" s="56" t="n"/>
      <c r="C22" s="59" t="n"/>
      <c r="D22" s="56" t="n"/>
      <c r="E22" s="60" t="n"/>
      <c r="F22" s="60" t="n"/>
      <c r="G22" s="59" t="n"/>
      <c r="H22" s="59" t="n"/>
      <c r="I22" s="56" t="n"/>
      <c r="J22" s="21">
        <f>IF(AND(ISNUMBER($E22),ISNUMBER($F22)),$E22-$F22,"")</f>
        <v/>
      </c>
      <c r="K22" s="33">
        <f>IF(OR($G22="Pay-in-4",$G22="Monthly BNPL",$G22="Store financing"),"On a plan","")</f>
        <v/>
      </c>
      <c r="L22" s="1">
        <f>IF(AND($H22="Idea",ISNUMBER($E22)),$E22+ROW()/100000,"")</f>
        <v/>
      </c>
      <c r="M22" s="1" t="n"/>
    </row>
    <row r="23" ht="22" customHeight="1">
      <c r="A23" s="1" t="n"/>
      <c r="B23" s="57" t="n"/>
      <c r="C23" s="61" t="n"/>
      <c r="D23" s="57" t="n"/>
      <c r="E23" s="62" t="n"/>
      <c r="F23" s="62" t="n"/>
      <c r="G23" s="61" t="n"/>
      <c r="H23" s="61" t="n"/>
      <c r="I23" s="57" t="n"/>
      <c r="J23" s="24">
        <f>IF(AND(ISNUMBER($E23),ISNUMBER($F23)),$E23-$F23,"")</f>
        <v/>
      </c>
      <c r="K23" s="35">
        <f>IF(OR($G23="Pay-in-4",$G23="Monthly BNPL",$G23="Store financing"),"On a plan","")</f>
        <v/>
      </c>
      <c r="L23" s="1">
        <f>IF(AND($H23="Idea",ISNUMBER($E23)),$E23+ROW()/100000,"")</f>
        <v/>
      </c>
      <c r="M23" s="1" t="n"/>
    </row>
    <row r="24" ht="22" customHeight="1">
      <c r="A24" s="1" t="n"/>
      <c r="B24" s="56" t="n"/>
      <c r="C24" s="59" t="n"/>
      <c r="D24" s="56" t="n"/>
      <c r="E24" s="60" t="n"/>
      <c r="F24" s="60" t="n"/>
      <c r="G24" s="59" t="n"/>
      <c r="H24" s="59" t="n"/>
      <c r="I24" s="56" t="n"/>
      <c r="J24" s="21">
        <f>IF(AND(ISNUMBER($E24),ISNUMBER($F24)),$E24-$F24,"")</f>
        <v/>
      </c>
      <c r="K24" s="33">
        <f>IF(OR($G24="Pay-in-4",$G24="Monthly BNPL",$G24="Store financing"),"On a plan","")</f>
        <v/>
      </c>
      <c r="L24" s="1">
        <f>IF(AND($H24="Idea",ISNUMBER($E24)),$E24+ROW()/100000,"")</f>
        <v/>
      </c>
      <c r="M24" s="1" t="n"/>
    </row>
    <row r="25" ht="22" customHeight="1">
      <c r="A25" s="1" t="n"/>
      <c r="B25" s="57" t="n"/>
      <c r="C25" s="61" t="n"/>
      <c r="D25" s="57" t="n"/>
      <c r="E25" s="62" t="n"/>
      <c r="F25" s="62" t="n"/>
      <c r="G25" s="61" t="n"/>
      <c r="H25" s="61" t="n"/>
      <c r="I25" s="57" t="n"/>
      <c r="J25" s="24">
        <f>IF(AND(ISNUMBER($E25),ISNUMBER($F25)),$E25-$F25,"")</f>
        <v/>
      </c>
      <c r="K25" s="35">
        <f>IF(OR($G25="Pay-in-4",$G25="Monthly BNPL",$G25="Store financing"),"On a plan","")</f>
        <v/>
      </c>
      <c r="L25" s="1">
        <f>IF(AND($H25="Idea",ISNUMBER($E25)),$E25+ROW()/100000,"")</f>
        <v/>
      </c>
      <c r="M25" s="1" t="n"/>
    </row>
    <row r="26" ht="22" customHeight="1">
      <c r="A26" s="1" t="n"/>
      <c r="B26" s="56" t="n"/>
      <c r="C26" s="59" t="n"/>
      <c r="D26" s="56" t="n"/>
      <c r="E26" s="60" t="n"/>
      <c r="F26" s="60" t="n"/>
      <c r="G26" s="59" t="n"/>
      <c r="H26" s="59" t="n"/>
      <c r="I26" s="56" t="n"/>
      <c r="J26" s="21">
        <f>IF(AND(ISNUMBER($E26),ISNUMBER($F26)),$E26-$F26,"")</f>
        <v/>
      </c>
      <c r="K26" s="33">
        <f>IF(OR($G26="Pay-in-4",$G26="Monthly BNPL",$G26="Store financing"),"On a plan","")</f>
        <v/>
      </c>
      <c r="L26" s="1">
        <f>IF(AND($H26="Idea",ISNUMBER($E26)),$E26+ROW()/100000,"")</f>
        <v/>
      </c>
      <c r="M26" s="1" t="n"/>
    </row>
    <row r="27" ht="22" customHeight="1">
      <c r="A27" s="1" t="n"/>
      <c r="B27" s="57" t="n"/>
      <c r="C27" s="61" t="n"/>
      <c r="D27" s="57" t="n"/>
      <c r="E27" s="62" t="n"/>
      <c r="F27" s="62" t="n"/>
      <c r="G27" s="61" t="n"/>
      <c r="H27" s="61" t="n"/>
      <c r="I27" s="57" t="n"/>
      <c r="J27" s="24">
        <f>IF(AND(ISNUMBER($E27),ISNUMBER($F27)),$E27-$F27,"")</f>
        <v/>
      </c>
      <c r="K27" s="35">
        <f>IF(OR($G27="Pay-in-4",$G27="Monthly BNPL",$G27="Store financing"),"On a plan","")</f>
        <v/>
      </c>
      <c r="L27" s="1">
        <f>IF(AND($H27="Idea",ISNUMBER($E27)),$E27+ROW()/100000,"")</f>
        <v/>
      </c>
      <c r="M27" s="1" t="n"/>
    </row>
    <row r="28" ht="22" customHeight="1">
      <c r="A28" s="1" t="n"/>
      <c r="B28" s="56" t="n"/>
      <c r="C28" s="59" t="n"/>
      <c r="D28" s="56" t="n"/>
      <c r="E28" s="60" t="n"/>
      <c r="F28" s="60" t="n"/>
      <c r="G28" s="59" t="n"/>
      <c r="H28" s="59" t="n"/>
      <c r="I28" s="56" t="n"/>
      <c r="J28" s="21">
        <f>IF(AND(ISNUMBER($E28),ISNUMBER($F28)),$E28-$F28,"")</f>
        <v/>
      </c>
      <c r="K28" s="33">
        <f>IF(OR($G28="Pay-in-4",$G28="Monthly BNPL",$G28="Store financing"),"On a plan","")</f>
        <v/>
      </c>
      <c r="L28" s="1">
        <f>IF(AND($H28="Idea",ISNUMBER($E28)),$E28+ROW()/100000,"")</f>
        <v/>
      </c>
      <c r="M28" s="1" t="n"/>
    </row>
    <row r="29" ht="22" customHeight="1">
      <c r="A29" s="1" t="n"/>
      <c r="B29" s="57" t="n"/>
      <c r="C29" s="61" t="n"/>
      <c r="D29" s="57" t="n"/>
      <c r="E29" s="62" t="n"/>
      <c r="F29" s="62" t="n"/>
      <c r="G29" s="61" t="n"/>
      <c r="H29" s="61" t="n"/>
      <c r="I29" s="57" t="n"/>
      <c r="J29" s="24">
        <f>IF(AND(ISNUMBER($E29),ISNUMBER($F29)),$E29-$F29,"")</f>
        <v/>
      </c>
      <c r="K29" s="35">
        <f>IF(OR($G29="Pay-in-4",$G29="Monthly BNPL",$G29="Store financing"),"On a plan","")</f>
        <v/>
      </c>
      <c r="L29" s="1">
        <f>IF(AND($H29="Idea",ISNUMBER($E29)),$E29+ROW()/100000,"")</f>
        <v/>
      </c>
      <c r="M29" s="1" t="n"/>
    </row>
    <row r="30" ht="22" customHeight="1">
      <c r="A30" s="1" t="n"/>
      <c r="B30" s="56" t="n"/>
      <c r="C30" s="59" t="n"/>
      <c r="D30" s="56" t="n"/>
      <c r="E30" s="60" t="n"/>
      <c r="F30" s="60" t="n"/>
      <c r="G30" s="59" t="n"/>
      <c r="H30" s="59" t="n"/>
      <c r="I30" s="56" t="n"/>
      <c r="J30" s="21">
        <f>IF(AND(ISNUMBER($E30),ISNUMBER($F30)),$E30-$F30,"")</f>
        <v/>
      </c>
      <c r="K30" s="33">
        <f>IF(OR($G30="Pay-in-4",$G30="Monthly BNPL",$G30="Store financing"),"On a plan","")</f>
        <v/>
      </c>
      <c r="L30" s="1">
        <f>IF(AND($H30="Idea",ISNUMBER($E30)),$E30+ROW()/100000,"")</f>
        <v/>
      </c>
      <c r="M30" s="1" t="n"/>
    </row>
    <row r="31" ht="22" customHeight="1">
      <c r="A31" s="1" t="n"/>
      <c r="B31" s="57" t="n"/>
      <c r="C31" s="61" t="n"/>
      <c r="D31" s="57" t="n"/>
      <c r="E31" s="62" t="n"/>
      <c r="F31" s="62" t="n"/>
      <c r="G31" s="61" t="n"/>
      <c r="H31" s="61" t="n"/>
      <c r="I31" s="57" t="n"/>
      <c r="J31" s="24">
        <f>IF(AND(ISNUMBER($E31),ISNUMBER($F31)),$E31-$F31,"")</f>
        <v/>
      </c>
      <c r="K31" s="35">
        <f>IF(OR($G31="Pay-in-4",$G31="Monthly BNPL",$G31="Store financing"),"On a plan","")</f>
        <v/>
      </c>
      <c r="L31" s="1">
        <f>IF(AND($H31="Idea",ISNUMBER($E31)),$E31+ROW()/100000,"")</f>
        <v/>
      </c>
      <c r="M31" s="1" t="n"/>
    </row>
    <row r="32" ht="22" customHeight="1">
      <c r="A32" s="1" t="n"/>
      <c r="B32" s="56" t="n"/>
      <c r="C32" s="59" t="n"/>
      <c r="D32" s="56" t="n"/>
      <c r="E32" s="60" t="n"/>
      <c r="F32" s="60" t="n"/>
      <c r="G32" s="59" t="n"/>
      <c r="H32" s="59" t="n"/>
      <c r="I32" s="56" t="n"/>
      <c r="J32" s="21">
        <f>IF(AND(ISNUMBER($E32),ISNUMBER($F32)),$E32-$F32,"")</f>
        <v/>
      </c>
      <c r="K32" s="33">
        <f>IF(OR($G32="Pay-in-4",$G32="Monthly BNPL",$G32="Store financing"),"On a plan","")</f>
        <v/>
      </c>
      <c r="L32" s="1">
        <f>IF(AND($H32="Idea",ISNUMBER($E32)),$E32+ROW()/100000,"")</f>
        <v/>
      </c>
      <c r="M32" s="1" t="n"/>
    </row>
    <row r="33" ht="22" customHeight="1">
      <c r="A33" s="1" t="n"/>
      <c r="B33" s="57" t="n"/>
      <c r="C33" s="61" t="n"/>
      <c r="D33" s="57" t="n"/>
      <c r="E33" s="62" t="n"/>
      <c r="F33" s="62" t="n"/>
      <c r="G33" s="61" t="n"/>
      <c r="H33" s="61" t="n"/>
      <c r="I33" s="57" t="n"/>
      <c r="J33" s="24">
        <f>IF(AND(ISNUMBER($E33),ISNUMBER($F33)),$E33-$F33,"")</f>
        <v/>
      </c>
      <c r="K33" s="35">
        <f>IF(OR($G33="Pay-in-4",$G33="Monthly BNPL",$G33="Store financing"),"On a plan","")</f>
        <v/>
      </c>
      <c r="L33" s="1">
        <f>IF(AND($H33="Idea",ISNUMBER($E33)),$E33+ROW()/100000,"")</f>
        <v/>
      </c>
      <c r="M33" s="1" t="n"/>
    </row>
    <row r="34" ht="22" customHeight="1">
      <c r="A34" s="1" t="n"/>
      <c r="B34" s="56" t="n"/>
      <c r="C34" s="59" t="n"/>
      <c r="D34" s="56" t="n"/>
      <c r="E34" s="60" t="n"/>
      <c r="F34" s="60" t="n"/>
      <c r="G34" s="59" t="n"/>
      <c r="H34" s="59" t="n"/>
      <c r="I34" s="56" t="n"/>
      <c r="J34" s="21">
        <f>IF(AND(ISNUMBER($E34),ISNUMBER($F34)),$E34-$F34,"")</f>
        <v/>
      </c>
      <c r="K34" s="33">
        <f>IF(OR($G34="Pay-in-4",$G34="Monthly BNPL",$G34="Store financing"),"On a plan","")</f>
        <v/>
      </c>
      <c r="L34" s="1">
        <f>IF(AND($H34="Idea",ISNUMBER($E34)),$E34+ROW()/100000,"")</f>
        <v/>
      </c>
      <c r="M34" s="1" t="n"/>
    </row>
    <row r="35" ht="22" customHeight="1">
      <c r="A35" s="1" t="n"/>
      <c r="B35" s="57" t="n"/>
      <c r="C35" s="61" t="n"/>
      <c r="D35" s="57" t="n"/>
      <c r="E35" s="62" t="n"/>
      <c r="F35" s="62" t="n"/>
      <c r="G35" s="61" t="n"/>
      <c r="H35" s="61" t="n"/>
      <c r="I35" s="57" t="n"/>
      <c r="J35" s="24">
        <f>IF(AND(ISNUMBER($E35),ISNUMBER($F35)),$E35-$F35,"")</f>
        <v/>
      </c>
      <c r="K35" s="35">
        <f>IF(OR($G35="Pay-in-4",$G35="Monthly BNPL",$G35="Store financing"),"On a plan","")</f>
        <v/>
      </c>
      <c r="L35" s="1">
        <f>IF(AND($H35="Idea",ISNUMBER($E35)),$E35+ROW()/100000,"")</f>
        <v/>
      </c>
      <c r="M35" s="1" t="n"/>
    </row>
    <row r="36" ht="22" customHeight="1">
      <c r="A36" s="1" t="n"/>
      <c r="B36" s="56" t="n"/>
      <c r="C36" s="59" t="n"/>
      <c r="D36" s="56" t="n"/>
      <c r="E36" s="60" t="n"/>
      <c r="F36" s="60" t="n"/>
      <c r="G36" s="59" t="n"/>
      <c r="H36" s="59" t="n"/>
      <c r="I36" s="56" t="n"/>
      <c r="J36" s="21">
        <f>IF(AND(ISNUMBER($E36),ISNUMBER($F36)),$E36-$F36,"")</f>
        <v/>
      </c>
      <c r="K36" s="33">
        <f>IF(OR($G36="Pay-in-4",$G36="Monthly BNPL",$G36="Store financing"),"On a plan","")</f>
        <v/>
      </c>
      <c r="L36" s="1">
        <f>IF(AND($H36="Idea",ISNUMBER($E36)),$E36+ROW()/100000,"")</f>
        <v/>
      </c>
      <c r="M36" s="1" t="n"/>
    </row>
    <row r="37" ht="22" customHeight="1">
      <c r="A37" s="1" t="n"/>
      <c r="B37" s="57" t="n"/>
      <c r="C37" s="61" t="n"/>
      <c r="D37" s="57" t="n"/>
      <c r="E37" s="62" t="n"/>
      <c r="F37" s="62" t="n"/>
      <c r="G37" s="61" t="n"/>
      <c r="H37" s="61" t="n"/>
      <c r="I37" s="57" t="n"/>
      <c r="J37" s="24">
        <f>IF(AND(ISNUMBER($E37),ISNUMBER($F37)),$E37-$F37,"")</f>
        <v/>
      </c>
      <c r="K37" s="35">
        <f>IF(OR($G37="Pay-in-4",$G37="Monthly BNPL",$G37="Store financing"),"On a plan","")</f>
        <v/>
      </c>
      <c r="L37" s="1">
        <f>IF(AND($H37="Idea",ISNUMBER($E37)),$E37+ROW()/100000,"")</f>
        <v/>
      </c>
      <c r="M37" s="1" t="n"/>
    </row>
    <row r="38" ht="22" customHeight="1">
      <c r="A38" s="1" t="n"/>
      <c r="B38" s="56" t="n"/>
      <c r="C38" s="59" t="n"/>
      <c r="D38" s="56" t="n"/>
      <c r="E38" s="60" t="n"/>
      <c r="F38" s="60" t="n"/>
      <c r="G38" s="59" t="n"/>
      <c r="H38" s="59" t="n"/>
      <c r="I38" s="56" t="n"/>
      <c r="J38" s="21">
        <f>IF(AND(ISNUMBER($E38),ISNUMBER($F38)),$E38-$F38,"")</f>
        <v/>
      </c>
      <c r="K38" s="33">
        <f>IF(OR($G38="Pay-in-4",$G38="Monthly BNPL",$G38="Store financing"),"On a plan","")</f>
        <v/>
      </c>
      <c r="L38" s="1">
        <f>IF(AND($H38="Idea",ISNUMBER($E38)),$E38+ROW()/100000,"")</f>
        <v/>
      </c>
      <c r="M38" s="1" t="n"/>
    </row>
    <row r="39" ht="22" customHeight="1">
      <c r="A39" s="1" t="n"/>
      <c r="B39" s="57" t="n"/>
      <c r="C39" s="61" t="n"/>
      <c r="D39" s="57" t="n"/>
      <c r="E39" s="62" t="n"/>
      <c r="F39" s="62" t="n"/>
      <c r="G39" s="61" t="n"/>
      <c r="H39" s="61" t="n"/>
      <c r="I39" s="57" t="n"/>
      <c r="J39" s="24">
        <f>IF(AND(ISNUMBER($E39),ISNUMBER($F39)),$E39-$F39,"")</f>
        <v/>
      </c>
      <c r="K39" s="35">
        <f>IF(OR($G39="Pay-in-4",$G39="Monthly BNPL",$G39="Store financing"),"On a plan","")</f>
        <v/>
      </c>
      <c r="L39" s="1">
        <f>IF(AND($H39="Idea",ISNUMBER($E39)),$E39+ROW()/100000,"")</f>
        <v/>
      </c>
      <c r="M39" s="1" t="n"/>
    </row>
    <row r="40" ht="22" customHeight="1">
      <c r="A40" s="1" t="n"/>
      <c r="B40" s="56" t="n"/>
      <c r="C40" s="59" t="n"/>
      <c r="D40" s="56" t="n"/>
      <c r="E40" s="60" t="n"/>
      <c r="F40" s="60" t="n"/>
      <c r="G40" s="59" t="n"/>
      <c r="H40" s="59" t="n"/>
      <c r="I40" s="56" t="n"/>
      <c r="J40" s="21">
        <f>IF(AND(ISNUMBER($E40),ISNUMBER($F40)),$E40-$F40,"")</f>
        <v/>
      </c>
      <c r="K40" s="33">
        <f>IF(OR($G40="Pay-in-4",$G40="Monthly BNPL",$G40="Store financing"),"On a plan","")</f>
        <v/>
      </c>
      <c r="L40" s="1">
        <f>IF(AND($H40="Idea",ISNUMBER($E40)),$E40+ROW()/100000,"")</f>
        <v/>
      </c>
      <c r="M40" s="1" t="n"/>
    </row>
    <row r="41" ht="22" customHeight="1">
      <c r="A41" s="1" t="n"/>
      <c r="B41" s="57" t="n"/>
      <c r="C41" s="61" t="n"/>
      <c r="D41" s="57" t="n"/>
      <c r="E41" s="62" t="n"/>
      <c r="F41" s="62" t="n"/>
      <c r="G41" s="61" t="n"/>
      <c r="H41" s="61" t="n"/>
      <c r="I41" s="57" t="n"/>
      <c r="J41" s="24">
        <f>IF(AND(ISNUMBER($E41),ISNUMBER($F41)),$E41-$F41,"")</f>
        <v/>
      </c>
      <c r="K41" s="35">
        <f>IF(OR($G41="Pay-in-4",$G41="Monthly BNPL",$G41="Store financing"),"On a plan","")</f>
        <v/>
      </c>
      <c r="L41" s="1">
        <f>IF(AND($H41="Idea",ISNUMBER($E41)),$E41+ROW()/100000,"")</f>
        <v/>
      </c>
      <c r="M41" s="1" t="n"/>
    </row>
    <row r="42" ht="22" customHeight="1">
      <c r="A42" s="1" t="n"/>
      <c r="B42" s="56" t="n"/>
      <c r="C42" s="59" t="n"/>
      <c r="D42" s="56" t="n"/>
      <c r="E42" s="60" t="n"/>
      <c r="F42" s="60" t="n"/>
      <c r="G42" s="59" t="n"/>
      <c r="H42" s="59" t="n"/>
      <c r="I42" s="56" t="n"/>
      <c r="J42" s="21">
        <f>IF(AND(ISNUMBER($E42),ISNUMBER($F42)),$E42-$F42,"")</f>
        <v/>
      </c>
      <c r="K42" s="33">
        <f>IF(OR($G42="Pay-in-4",$G42="Monthly BNPL",$G42="Store financing"),"On a plan","")</f>
        <v/>
      </c>
      <c r="L42" s="1">
        <f>IF(AND($H42="Idea",ISNUMBER($E42)),$E42+ROW()/100000,"")</f>
        <v/>
      </c>
      <c r="M42" s="1" t="n"/>
    </row>
    <row r="43" ht="22" customHeight="1">
      <c r="A43" s="1" t="n"/>
      <c r="B43" s="57" t="n"/>
      <c r="C43" s="61" t="n"/>
      <c r="D43" s="57" t="n"/>
      <c r="E43" s="62" t="n"/>
      <c r="F43" s="62" t="n"/>
      <c r="G43" s="61" t="n"/>
      <c r="H43" s="61" t="n"/>
      <c r="I43" s="57" t="n"/>
      <c r="J43" s="24">
        <f>IF(AND(ISNUMBER($E43),ISNUMBER($F43)),$E43-$F43,"")</f>
        <v/>
      </c>
      <c r="K43" s="35">
        <f>IF(OR($G43="Pay-in-4",$G43="Monthly BNPL",$G43="Store financing"),"On a plan","")</f>
        <v/>
      </c>
      <c r="L43" s="1">
        <f>IF(AND($H43="Idea",ISNUMBER($E43)),$E43+ROW()/100000,"")</f>
        <v/>
      </c>
      <c r="M43" s="1" t="n"/>
    </row>
    <row r="44" ht="22" customHeight="1">
      <c r="A44" s="1" t="n"/>
      <c r="B44" s="56" t="n"/>
      <c r="C44" s="59" t="n"/>
      <c r="D44" s="56" t="n"/>
      <c r="E44" s="60" t="n"/>
      <c r="F44" s="60" t="n"/>
      <c r="G44" s="59" t="n"/>
      <c r="H44" s="59" t="n"/>
      <c r="I44" s="56" t="n"/>
      <c r="J44" s="21">
        <f>IF(AND(ISNUMBER($E44),ISNUMBER($F44)),$E44-$F44,"")</f>
        <v/>
      </c>
      <c r="K44" s="33">
        <f>IF(OR($G44="Pay-in-4",$G44="Monthly BNPL",$G44="Store financing"),"On a plan","")</f>
        <v/>
      </c>
      <c r="L44" s="1">
        <f>IF(AND($H44="Idea",ISNUMBER($E44)),$E44+ROW()/100000,"")</f>
        <v/>
      </c>
      <c r="M44" s="1" t="n"/>
    </row>
    <row r="45" ht="22" customHeight="1">
      <c r="A45" s="1" t="n"/>
      <c r="B45" s="57" t="n"/>
      <c r="C45" s="61" t="n"/>
      <c r="D45" s="57" t="n"/>
      <c r="E45" s="62" t="n"/>
      <c r="F45" s="62" t="n"/>
      <c r="G45" s="61" t="n"/>
      <c r="H45" s="61" t="n"/>
      <c r="I45" s="57" t="n"/>
      <c r="J45" s="24">
        <f>IF(AND(ISNUMBER($E45),ISNUMBER($F45)),$E45-$F45,"")</f>
        <v/>
      </c>
      <c r="K45" s="35">
        <f>IF(OR($G45="Pay-in-4",$G45="Monthly BNPL",$G45="Store financing"),"On a plan","")</f>
        <v/>
      </c>
      <c r="L45" s="1">
        <f>IF(AND($H45="Idea",ISNUMBER($E45)),$E45+ROW()/100000,"")</f>
        <v/>
      </c>
      <c r="M45" s="1" t="n"/>
    </row>
    <row r="46" ht="22" customHeight="1">
      <c r="A46" s="1" t="n"/>
      <c r="B46" s="56" t="n"/>
      <c r="C46" s="59" t="n"/>
      <c r="D46" s="56" t="n"/>
      <c r="E46" s="60" t="n"/>
      <c r="F46" s="60" t="n"/>
      <c r="G46" s="59" t="n"/>
      <c r="H46" s="59" t="n"/>
      <c r="I46" s="56" t="n"/>
      <c r="J46" s="21">
        <f>IF(AND(ISNUMBER($E46),ISNUMBER($F46)),$E46-$F46,"")</f>
        <v/>
      </c>
      <c r="K46" s="33">
        <f>IF(OR($G46="Pay-in-4",$G46="Monthly BNPL",$G46="Store financing"),"On a plan","")</f>
        <v/>
      </c>
      <c r="L46" s="1">
        <f>IF(AND($H46="Idea",ISNUMBER($E46)),$E46+ROW()/100000,"")</f>
        <v/>
      </c>
      <c r="M46" s="1" t="n"/>
    </row>
    <row r="47" ht="22" customHeight="1">
      <c r="A47" s="1" t="n"/>
      <c r="B47" s="57" t="n"/>
      <c r="C47" s="61" t="n"/>
      <c r="D47" s="57" t="n"/>
      <c r="E47" s="62" t="n"/>
      <c r="F47" s="62" t="n"/>
      <c r="G47" s="61" t="n"/>
      <c r="H47" s="61" t="n"/>
      <c r="I47" s="57" t="n"/>
      <c r="J47" s="24">
        <f>IF(AND(ISNUMBER($E47),ISNUMBER($F47)),$E47-$F47,"")</f>
        <v/>
      </c>
      <c r="K47" s="35">
        <f>IF(OR($G47="Pay-in-4",$G47="Monthly BNPL",$G47="Store financing"),"On a plan","")</f>
        <v/>
      </c>
      <c r="L47" s="1">
        <f>IF(AND($H47="Idea",ISNUMBER($E47)),$E47+ROW()/100000,"")</f>
        <v/>
      </c>
      <c r="M47" s="1" t="n"/>
    </row>
    <row r="48" ht="22" customHeight="1">
      <c r="A48" s="1" t="n"/>
      <c r="B48" s="56" t="n"/>
      <c r="C48" s="59" t="n"/>
      <c r="D48" s="56" t="n"/>
      <c r="E48" s="60" t="n"/>
      <c r="F48" s="60" t="n"/>
      <c r="G48" s="59" t="n"/>
      <c r="H48" s="59" t="n"/>
      <c r="I48" s="56" t="n"/>
      <c r="J48" s="21">
        <f>IF(AND(ISNUMBER($E48),ISNUMBER($F48)),$E48-$F48,"")</f>
        <v/>
      </c>
      <c r="K48" s="33">
        <f>IF(OR($G48="Pay-in-4",$G48="Monthly BNPL",$G48="Store financing"),"On a plan","")</f>
        <v/>
      </c>
      <c r="L48" s="1">
        <f>IF(AND($H48="Idea",ISNUMBER($E48)),$E48+ROW()/100000,"")</f>
        <v/>
      </c>
      <c r="M48" s="1" t="n"/>
    </row>
    <row r="49" ht="22" customHeight="1">
      <c r="A49" s="1" t="n"/>
      <c r="B49" s="57" t="n"/>
      <c r="C49" s="61" t="n"/>
      <c r="D49" s="57" t="n"/>
      <c r="E49" s="62" t="n"/>
      <c r="F49" s="62" t="n"/>
      <c r="G49" s="61" t="n"/>
      <c r="H49" s="61" t="n"/>
      <c r="I49" s="57" t="n"/>
      <c r="J49" s="24">
        <f>IF(AND(ISNUMBER($E49),ISNUMBER($F49)),$E49-$F49,"")</f>
        <v/>
      </c>
      <c r="K49" s="35">
        <f>IF(OR($G49="Pay-in-4",$G49="Monthly BNPL",$G49="Store financing"),"On a plan","")</f>
        <v/>
      </c>
      <c r="L49" s="1">
        <f>IF(AND($H49="Idea",ISNUMBER($E49)),$E49+ROW()/100000,"")</f>
        <v/>
      </c>
      <c r="M49" s="1" t="n"/>
    </row>
    <row r="50" ht="22" customHeight="1">
      <c r="A50" s="1" t="n"/>
      <c r="B50" s="56" t="n"/>
      <c r="C50" s="59" t="n"/>
      <c r="D50" s="56" t="n"/>
      <c r="E50" s="60" t="n"/>
      <c r="F50" s="60" t="n"/>
      <c r="G50" s="59" t="n"/>
      <c r="H50" s="59" t="n"/>
      <c r="I50" s="56" t="n"/>
      <c r="J50" s="21">
        <f>IF(AND(ISNUMBER($E50),ISNUMBER($F50)),$E50-$F50,"")</f>
        <v/>
      </c>
      <c r="K50" s="33">
        <f>IF(OR($G50="Pay-in-4",$G50="Monthly BNPL",$G50="Store financing"),"On a plan","")</f>
        <v/>
      </c>
      <c r="L50" s="1">
        <f>IF(AND($H50="Idea",ISNUMBER($E50)),$E50+ROW()/100000,"")</f>
        <v/>
      </c>
      <c r="M50" s="1" t="n"/>
    </row>
    <row r="51" ht="22" customHeight="1">
      <c r="A51" s="1" t="n"/>
      <c r="B51" s="57" t="n"/>
      <c r="C51" s="61" t="n"/>
      <c r="D51" s="57" t="n"/>
      <c r="E51" s="62" t="n"/>
      <c r="F51" s="62" t="n"/>
      <c r="G51" s="61" t="n"/>
      <c r="H51" s="61" t="n"/>
      <c r="I51" s="57" t="n"/>
      <c r="J51" s="24">
        <f>IF(AND(ISNUMBER($E51),ISNUMBER($F51)),$E51-$F51,"")</f>
        <v/>
      </c>
      <c r="K51" s="35">
        <f>IF(OR($G51="Pay-in-4",$G51="Monthly BNPL",$G51="Store financing"),"On a plan","")</f>
        <v/>
      </c>
      <c r="L51" s="1">
        <f>IF(AND($H51="Idea",ISNUMBER($E51)),$E51+ROW()/100000,"")</f>
        <v/>
      </c>
      <c r="M51" s="1" t="n"/>
    </row>
    <row r="52" ht="22" customHeight="1">
      <c r="A52" s="1" t="n"/>
      <c r="B52" s="56" t="n"/>
      <c r="C52" s="59" t="n"/>
      <c r="D52" s="56" t="n"/>
      <c r="E52" s="60" t="n"/>
      <c r="F52" s="60" t="n"/>
      <c r="G52" s="59" t="n"/>
      <c r="H52" s="59" t="n"/>
      <c r="I52" s="56" t="n"/>
      <c r="J52" s="21">
        <f>IF(AND(ISNUMBER($E52),ISNUMBER($F52)),$E52-$F52,"")</f>
        <v/>
      </c>
      <c r="K52" s="33">
        <f>IF(OR($G52="Pay-in-4",$G52="Monthly BNPL",$G52="Store financing"),"On a plan","")</f>
        <v/>
      </c>
      <c r="L52" s="1">
        <f>IF(AND($H52="Idea",ISNUMBER($E52)),$E52+ROW()/100000,"")</f>
        <v/>
      </c>
      <c r="M52" s="1" t="n"/>
    </row>
    <row r="53" ht="22" customHeight="1">
      <c r="A53" s="1" t="n"/>
      <c r="B53" s="57" t="n"/>
      <c r="C53" s="61" t="n"/>
      <c r="D53" s="57" t="n"/>
      <c r="E53" s="62" t="n"/>
      <c r="F53" s="62" t="n"/>
      <c r="G53" s="61" t="n"/>
      <c r="H53" s="61" t="n"/>
      <c r="I53" s="57" t="n"/>
      <c r="J53" s="24">
        <f>IF(AND(ISNUMBER($E53),ISNUMBER($F53)),$E53-$F53,"")</f>
        <v/>
      </c>
      <c r="K53" s="35">
        <f>IF(OR($G53="Pay-in-4",$G53="Monthly BNPL",$G53="Store financing"),"On a plan","")</f>
        <v/>
      </c>
      <c r="L53" s="1">
        <f>IF(AND($H53="Idea",ISNUMBER($E53)),$E53+ROW()/100000,"")</f>
        <v/>
      </c>
      <c r="M53" s="1" t="n"/>
    </row>
    <row r="54" ht="22" customHeight="1">
      <c r="A54" s="1" t="n"/>
      <c r="B54" s="56" t="n"/>
      <c r="C54" s="59" t="n"/>
      <c r="D54" s="56" t="n"/>
      <c r="E54" s="60" t="n"/>
      <c r="F54" s="60" t="n"/>
      <c r="G54" s="59" t="n"/>
      <c r="H54" s="59" t="n"/>
      <c r="I54" s="56" t="n"/>
      <c r="J54" s="21">
        <f>IF(AND(ISNUMBER($E54),ISNUMBER($F54)),$E54-$F54,"")</f>
        <v/>
      </c>
      <c r="K54" s="33">
        <f>IF(OR($G54="Pay-in-4",$G54="Monthly BNPL",$G54="Store financing"),"On a plan","")</f>
        <v/>
      </c>
      <c r="L54" s="1">
        <f>IF(AND($H54="Idea",ISNUMBER($E54)),$E54+ROW()/100000,"")</f>
        <v/>
      </c>
      <c r="M54" s="1" t="n"/>
    </row>
    <row r="55" ht="22" customHeight="1">
      <c r="A55" s="1" t="n"/>
      <c r="B55" s="57" t="n"/>
      <c r="C55" s="61" t="n"/>
      <c r="D55" s="57" t="n"/>
      <c r="E55" s="62" t="n"/>
      <c r="F55" s="62" t="n"/>
      <c r="G55" s="61" t="n"/>
      <c r="H55" s="61" t="n"/>
      <c r="I55" s="57" t="n"/>
      <c r="J55" s="24">
        <f>IF(AND(ISNUMBER($E55),ISNUMBER($F55)),$E55-$F55,"")</f>
        <v/>
      </c>
      <c r="K55" s="35">
        <f>IF(OR($G55="Pay-in-4",$G55="Monthly BNPL",$G55="Store financing"),"On a plan","")</f>
        <v/>
      </c>
      <c r="L55" s="1">
        <f>IF(AND($H55="Idea",ISNUMBER($E55)),$E55+ROW()/100000,"")</f>
        <v/>
      </c>
      <c r="M55" s="1" t="n"/>
    </row>
    <row r="56">
      <c r="A56" s="1" t="n"/>
      <c r="B56" s="1" t="n"/>
      <c r="C56" s="1" t="n"/>
      <c r="D56" s="1" t="n"/>
      <c r="E56" s="1" t="n"/>
      <c r="F56" s="1" t="n"/>
      <c r="G56" s="1" t="n"/>
      <c r="H56" s="1" t="n"/>
      <c r="I56" s="1" t="n"/>
      <c r="J56" s="1" t="n"/>
      <c r="K56" s="1" t="n"/>
      <c r="L56" s="1" t="n"/>
      <c r="M56" s="1" t="n"/>
    </row>
    <row r="57">
      <c r="A57" s="1" t="n"/>
      <c r="B57" s="1" t="n"/>
      <c r="C57" s="1" t="n"/>
      <c r="D57" s="1" t="n"/>
      <c r="E57" s="1" t="n"/>
      <c r="F57" s="1" t="n"/>
      <c r="G57" s="1" t="n"/>
      <c r="H57" s="1" t="n"/>
      <c r="I57" s="1" t="n"/>
      <c r="J57" s="1" t="n"/>
      <c r="K57" s="1" t="n"/>
      <c r="L57" s="1" t="n"/>
      <c r="M57" s="1" t="n"/>
    </row>
  </sheetData>
  <autoFilter ref="B5:K55"/>
  <conditionalFormatting sqref="C6:C55">
    <cfRule type="cellIs" priority="1" operator="equal" dxfId="1">
      <formula>"Family"</formula>
    </cfRule>
    <cfRule type="cellIs" priority="2" operator="equal" dxfId="4">
      <formula>"Partner"</formula>
    </cfRule>
    <cfRule type="cellIs" priority="3" operator="equal" dxfId="2">
      <formula>"Kids"</formula>
    </cfRule>
    <cfRule type="cellIs" priority="4" operator="equal" dxfId="5">
      <formula>"Friend"</formula>
    </cfRule>
    <cfRule type="cellIs" priority="5" operator="equal" dxfId="6">
      <formula>"Coworker"</formula>
    </cfRule>
    <cfRule type="cellIs" priority="6" operator="equal" dxfId="7">
      <formula>"Other"</formula>
    </cfRule>
  </conditionalFormatting>
  <conditionalFormatting sqref="G6:G55">
    <cfRule type="cellIs" priority="7" operator="equal" dxfId="3">
      <formula>"Cash / debit"</formula>
    </cfRule>
    <cfRule type="cellIs" priority="8" operator="equal" dxfId="6">
      <formula>"Credit card"</formula>
    </cfRule>
    <cfRule type="cellIs" priority="9" operator="equal" dxfId="2">
      <formula>"Pay-in-4"</formula>
    </cfRule>
    <cfRule type="cellIs" priority="10" operator="equal" dxfId="1">
      <formula>"Monthly BNPL"</formula>
    </cfRule>
    <cfRule type="cellIs" priority="11" operator="equal" dxfId="1">
      <formula>"Store financing"</formula>
    </cfRule>
    <cfRule type="cellIs" priority="12" operator="equal" dxfId="5">
      <formula>"Gift card"</formula>
    </cfRule>
    <cfRule type="cellIs" priority="13" operator="equal" dxfId="7">
      <formula>"Other"</formula>
    </cfRule>
  </conditionalFormatting>
  <conditionalFormatting sqref="H6:H55">
    <cfRule type="cellIs" priority="14" operator="equal" dxfId="7">
      <formula>"Idea"</formula>
    </cfRule>
    <cfRule type="cellIs" priority="15" operator="equal" dxfId="6">
      <formula>"Bought"</formula>
    </cfRule>
    <cfRule type="cellIs" priority="16" operator="equal" dxfId="2">
      <formula>"Wrapped"</formula>
    </cfRule>
    <cfRule type="cellIs" priority="17" operator="equal" dxfId="3">
      <formula>"Given"</formula>
    </cfRule>
  </conditionalFormatting>
  <conditionalFormatting sqref="K6:K55">
    <cfRule type="cellIs" priority="18" operator="equal" dxfId="1">
      <formula>"On a plan"</formula>
    </cfRule>
  </conditionalFormatting>
  <conditionalFormatting sqref="J6:J55">
    <cfRule type="expression" priority="19" dxfId="0">
      <formula>AND(ISNUMBER($J6),$J6&lt;0)</formula>
    </cfRule>
    <cfRule type="expression" priority="20" dxfId="8">
      <formula>AND(ISNUMBER($J6),$J6&gt;0)</formula>
    </cfRule>
  </conditionalFormatting>
  <dataValidations count="3">
    <dataValidation sqref="C6:C55" showDropDown="0" showInputMessage="0" showErrorMessage="0" allowBlank="1" type="list">
      <formula1>=Settings!$B$14:$B$21</formula1>
    </dataValidation>
    <dataValidation sqref="G6:G55" showDropDown="0" showInputMessage="0" showErrorMessage="0" allowBlank="1" type="list">
      <formula1>=Settings!$C$14:$C$21</formula1>
    </dataValidation>
    <dataValidation sqref="H6:H55" showDropDown="0" showInputMessage="0" showErrorMessage="0" allowBlank="1" type="list">
      <formula1>=Settings!$D$14:$D$21</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E2687B"/>
    <outlinePr summaryBelow="1" summaryRight="1"/>
    <pageSetUpPr/>
  </sheetPr>
  <dimension ref="A1:X27"/>
  <sheetViews>
    <sheetView showGridLines="0" workbookViewId="0">
      <selection activeCell="A1" sqref="A1"/>
    </sheetView>
  </sheetViews>
  <sheetFormatPr baseColWidth="8" defaultRowHeight="15"/>
  <cols>
    <col width="3" customWidth="1" min="1" max="1"/>
    <col width="20" customWidth="1" min="2" max="2"/>
    <col width="15" customWidth="1" min="3" max="3"/>
    <col width="11" customWidth="1" min="4" max="4"/>
    <col width="11" customWidth="1" min="5" max="5"/>
    <col width="10" customWidth="1" min="6" max="6"/>
    <col width="10" customWidth="1" min="7" max="7"/>
    <col width="13" customWidth="1" min="8" max="8"/>
    <col width="11" customWidth="1" min="9" max="9"/>
    <col width="11" customWidth="1" min="10" max="10"/>
    <col width="12" customWidth="1" min="11" max="11"/>
    <col width="11" customWidth="1" min="12" max="12"/>
    <col width="10" customWidth="1" min="13" max="13"/>
    <col width="13" customWidth="1" min="14" max="14"/>
    <col width="10" customWidth="1" min="15" max="15"/>
    <col width="12" customWidth="1" min="16" max="16"/>
    <col width="9" customWidth="1" min="17" max="17"/>
    <col width="11" customWidth="1" min="18" max="18"/>
    <col width="11" customWidth="1" min="19" max="19"/>
    <col width="11" customWidth="1" min="20" max="20"/>
    <col width="11" customWidth="1" min="21" max="21"/>
    <col width="11" customWidth="1" min="22" max="22"/>
    <col hidden="1" width="4" customWidth="1" min="23" max="23"/>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30" customHeight="1">
      <c r="A2" s="1" t="n"/>
      <c r="B2" s="44" t="inlineStr">
        <is>
          <t>Holiday Payments</t>
        </is>
      </c>
      <c r="C2" s="1" t="n"/>
      <c r="D2" s="1" t="n"/>
      <c r="E2" s="1" t="n"/>
      <c r="F2" s="1" t="n"/>
      <c r="G2" s="1" t="n"/>
      <c r="H2" s="1" t="n"/>
      <c r="I2" s="1" t="n"/>
      <c r="J2" s="1" t="n"/>
      <c r="K2" s="1" t="n"/>
      <c r="L2" s="1" t="n"/>
      <c r="M2" s="1" t="n"/>
      <c r="N2" s="43" t="inlineStr">
        <is>
          <t>GOLD headers: you fill in   ·   BERRY headers: calculated for you</t>
        </is>
      </c>
      <c r="O2" s="1" t="n"/>
      <c r="P2" s="1" t="n"/>
      <c r="Q2" s="1" t="n"/>
      <c r="R2" s="1" t="n"/>
      <c r="S2" s="1" t="n"/>
      <c r="T2" s="1" t="n"/>
      <c r="U2" s="1" t="n"/>
      <c r="V2" s="1" t="n"/>
      <c r="W2" s="1" t="n"/>
      <c r="X2" s="1" t="n"/>
    </row>
    <row r="3">
      <c r="A3" s="1" t="n"/>
      <c r="B3" s="58">
        <f>COUNT('Holiday Payments'!$K$6:$K$25)&amp;" plans   ·   "&amp;TEXT(SUM('Holiday Payments'!$P$6:$P$25),"$#,##0")&amp;" still to pay   ·   extra cost "&amp;TEXT(SUM('Holiday Payments'!$L$6:$L$25),"$#,##0")&amp;"   ·   last payment "&amp;IF(COUNT('Holiday Payments'!$N$6:$N$25)=0,"-",TEXT(MAX('Holiday Payments'!$N$6:$N$25),"mmm d, yyyy"))</f>
        <v/>
      </c>
      <c r="C3" s="1" t="n"/>
      <c r="D3" s="1" t="n"/>
      <c r="E3" s="1" t="n"/>
      <c r="F3" s="1" t="n"/>
      <c r="G3" s="1" t="n"/>
      <c r="H3" s="1" t="n"/>
      <c r="I3" s="1" t="n"/>
      <c r="J3" s="1" t="n"/>
      <c r="K3" s="1" t="n"/>
      <c r="L3" s="1" t="n"/>
      <c r="M3" s="1" t="n"/>
      <c r="N3" s="1" t="n"/>
      <c r="O3" s="1" t="n"/>
      <c r="P3" s="1" t="n"/>
      <c r="Q3" s="1" t="n"/>
      <c r="R3" s="1" t="n"/>
      <c r="S3" s="1" t="n"/>
      <c r="T3" s="1" t="n"/>
      <c r="U3" s="1" t="n"/>
      <c r="V3" s="1" t="n"/>
      <c r="W3" s="1" t="n"/>
      <c r="X3" s="1" t="n"/>
    </row>
    <row r="4" ht="40"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row>
    <row r="5" ht="34" customHeight="1">
      <c r="A5" s="1" t="n"/>
      <c r="B5" s="27" t="inlineStr">
        <is>
          <t>ITEM</t>
        </is>
      </c>
      <c r="C5" s="27" t="inlineStr">
        <is>
          <t>PLAN TYPE</t>
        </is>
      </c>
      <c r="D5" s="27" t="inlineStr">
        <is>
          <t>PRICE</t>
        </is>
      </c>
      <c r="E5" s="27" t="inlineStr">
        <is>
          <t>PAYMENT</t>
        </is>
      </c>
      <c r="F5" s="27" t="inlineStr">
        <is>
          <t>NUMBER OF PAYMENTS</t>
        </is>
      </c>
      <c r="G5" s="27" t="inlineStr">
        <is>
          <t>PAYS EVERY</t>
        </is>
      </c>
      <c r="H5" s="27" t="inlineStr">
        <is>
          <t>FIRST PAYMENT</t>
        </is>
      </c>
      <c r="I5" s="27" t="inlineStr">
        <is>
          <t>1ST PAID AT CHECKOUT?</t>
        </is>
      </c>
      <c r="J5" s="27" t="inlineStr">
        <is>
          <t>STATED APR (IF KNOWN)</t>
        </is>
      </c>
      <c r="K5" s="19" t="inlineStr">
        <is>
          <t>TOTAL YOU'LL PAY</t>
        </is>
      </c>
      <c r="L5" s="19" t="inlineStr">
        <is>
          <t>EXTRA COST</t>
        </is>
      </c>
      <c r="M5" s="19" t="inlineStr">
        <is>
          <t>REAL APR</t>
        </is>
      </c>
      <c r="N5" s="19" t="inlineStr">
        <is>
          <t>LAST PAYMENT</t>
        </is>
      </c>
      <c r="O5" s="19" t="inlineStr">
        <is>
          <t>PAYMENTS LEFT</t>
        </is>
      </c>
      <c r="P5" s="19" t="inlineStr">
        <is>
          <t>STILL TO PAY</t>
        </is>
      </c>
      <c r="Q5" s="19" t="inlineStr">
        <is>
          <t>FLAG</t>
        </is>
      </c>
      <c r="R5" s="19">
        <f>UPPER(TEXT(EDATE(Settings!$C$7,0),"mmm yyyy"))</f>
        <v/>
      </c>
      <c r="S5" s="19">
        <f>UPPER(TEXT(EDATE(Settings!$C$7,1),"mmm yyyy"))</f>
        <v/>
      </c>
      <c r="T5" s="19">
        <f>UPPER(TEXT(EDATE(Settings!$C$7,2),"mmm yyyy"))</f>
        <v/>
      </c>
      <c r="U5" s="19">
        <f>UPPER(TEXT(EDATE(Settings!$C$7,3),"mmm yyyy"))</f>
        <v/>
      </c>
      <c r="V5" s="19">
        <f>UPPER(TEXT(EDATE(Settings!$C$7,4),"mmm yyyy"))</f>
        <v/>
      </c>
      <c r="W5" s="1" t="inlineStr">
        <is>
          <t>key</t>
        </is>
      </c>
      <c r="X5" s="1" t="n"/>
    </row>
    <row r="6" ht="22" customHeight="1">
      <c r="A6" s="1" t="n"/>
      <c r="B6" s="56" t="inlineStr">
        <is>
          <t>Smart watch</t>
        </is>
      </c>
      <c r="C6" s="59" t="inlineStr">
        <is>
          <t>Pay-in-4</t>
        </is>
      </c>
      <c r="D6" s="60" t="n">
        <v>279</v>
      </c>
      <c r="E6" s="60" t="n">
        <v>69.75</v>
      </c>
      <c r="F6" s="63" t="n">
        <v>4</v>
      </c>
      <c r="G6" s="59" t="inlineStr">
        <is>
          <t>2 weeks</t>
        </is>
      </c>
      <c r="H6" s="64" t="n">
        <v>46353</v>
      </c>
      <c r="I6" s="59" t="inlineStr">
        <is>
          <t>Yes</t>
        </is>
      </c>
      <c r="J6" s="65" t="n"/>
      <c r="K6" s="21">
        <f>IF(AND($B6&lt;&gt;"",N($E6)&gt;0,N($F6)&gt;0),$E6*$F6,"")</f>
        <v/>
      </c>
      <c r="L6" s="21">
        <f>IF(AND(ISNUMBER($K6),ISNUMBER($D6)),MAX(0,$K6-$D6),"")</f>
        <v/>
      </c>
      <c r="M6" s="32">
        <f>IF(NOT(AND($B6&lt;&gt;"",N($E6)&gt;0,N($F6)&gt;0)),"",IF(ISNUMBER($J6),$J6,IF(NOT(ISNUMBER($D6)),"",IF($K6&lt;=$D6+0.005,0,IFERROR(RATE($F6,-$E6,$D6,0,IF($I6="Yes",1,0))*IF($G6="2 weeks",26,12),"")))))</f>
        <v/>
      </c>
      <c r="N6" s="66">
        <f>IF(NOT(AND(AND($B6&lt;&gt;"",N($E6)&gt;0,N($F6)&gt;0),ISNUMBER($H6))),"",IF($G6="2 weeks",$H6+14*($F6-1),EDATE($H6,$F6-1)))</f>
        <v/>
      </c>
      <c r="O6" s="67">
        <f>IF(NOT(AND(AND($B6&lt;&gt;"",N($E6)&gt;0,N($F6)&gt;0),ISNUMBER($H6))),"",$F6-IF(Settings!$C$11&lt;=$H6,0,MIN($F6,IF($G6="2 weeks",INT((Settings!$C$11-$H6-1)/14)+1,DATEDIF($H6,Settings!$C$11,"M")+IF(EDATE($H6,DATEDIF($H6,Settings!$C$11,"M"))&lt;Settings!$C$11,1,0)))))</f>
        <v/>
      </c>
      <c r="P6" s="21">
        <f>IF(ISNUMBER($O6),$O6*$E6,"")</f>
        <v/>
      </c>
      <c r="Q6" s="33">
        <f>IF(NOT(ISNUMBER($M6)),"",IF($M6&gt;=Settings!$C$8,"HIGH",IF($M6&gt;=Settings!$C$9,"CHECK","OK")))</f>
        <v/>
      </c>
      <c r="R6" s="21">
        <f>IF(NOT(AND(AND($B6&lt;&gt;"",N($E6)&gt;0,N($F6)&gt;0),ISNUMBER($H6))),"",$E6*IF($G6="2 weeks",MAX(0,MIN($F6-1,INT((EOMONTH(Settings!$C$7,0)-$H6)/14))-MAX(0,-INT(-(EDATE(Settings!$C$7,0)-$H6)/14))+1),IF(AND(((YEAR(EDATE(Settings!$C$7,0))*12+MONTH(EDATE(Settings!$C$7,0)))-(YEAR($H6)*12+MONTH($H6)))&gt;=0,((YEAR(EDATE(Settings!$C$7,0))*12+MONTH(EDATE(Settings!$C$7,0)))-(YEAR($H6)*12+MONTH($H6)))&lt;$F6),1,0)))</f>
        <v/>
      </c>
      <c r="S6" s="21">
        <f>IF(NOT(AND(AND($B6&lt;&gt;"",N($E6)&gt;0,N($F6)&gt;0),ISNUMBER($H6))),"",$E6*IF($G6="2 weeks",MAX(0,MIN($F6-1,INT((EOMONTH(Settings!$C$7,1)-$H6)/14))-MAX(0,-INT(-(EDATE(Settings!$C$7,1)-$H6)/14))+1),IF(AND(((YEAR(EDATE(Settings!$C$7,1))*12+MONTH(EDATE(Settings!$C$7,1)))-(YEAR($H6)*12+MONTH($H6)))&gt;=0,((YEAR(EDATE(Settings!$C$7,1))*12+MONTH(EDATE(Settings!$C$7,1)))-(YEAR($H6)*12+MONTH($H6)))&lt;$F6),1,0)))</f>
        <v/>
      </c>
      <c r="T6" s="21">
        <f>IF(NOT(AND(AND($B6&lt;&gt;"",N($E6)&gt;0,N($F6)&gt;0),ISNUMBER($H6))),"",$E6*IF($G6="2 weeks",MAX(0,MIN($F6-1,INT((EOMONTH(Settings!$C$7,2)-$H6)/14))-MAX(0,-INT(-(EDATE(Settings!$C$7,2)-$H6)/14))+1),IF(AND(((YEAR(EDATE(Settings!$C$7,2))*12+MONTH(EDATE(Settings!$C$7,2)))-(YEAR($H6)*12+MONTH($H6)))&gt;=0,((YEAR(EDATE(Settings!$C$7,2))*12+MONTH(EDATE(Settings!$C$7,2)))-(YEAR($H6)*12+MONTH($H6)))&lt;$F6),1,0)))</f>
        <v/>
      </c>
      <c r="U6" s="21">
        <f>IF(NOT(AND(AND($B6&lt;&gt;"",N($E6)&gt;0,N($F6)&gt;0),ISNUMBER($H6))),"",$E6*IF($G6="2 weeks",MAX(0,MIN($F6-1,INT((EOMONTH(Settings!$C$7,3)-$H6)/14))-MAX(0,-INT(-(EDATE(Settings!$C$7,3)-$H6)/14))+1),IF(AND(((YEAR(EDATE(Settings!$C$7,3))*12+MONTH(EDATE(Settings!$C$7,3)))-(YEAR($H6)*12+MONTH($H6)))&gt;=0,((YEAR(EDATE(Settings!$C$7,3))*12+MONTH(EDATE(Settings!$C$7,3)))-(YEAR($H6)*12+MONTH($H6)))&lt;$F6),1,0)))</f>
        <v/>
      </c>
      <c r="V6" s="21">
        <f>IF(NOT(AND(AND($B6&lt;&gt;"",N($E6)&gt;0,N($F6)&gt;0),ISNUMBER($H6))),"",$E6*IF($G6="2 weeks",MAX(0,MIN($F6-1,INT((EOMONTH(Settings!$C$7,4)-$H6)/14))-MAX(0,-INT(-(EDATE(Settings!$C$7,4)-$H6)/14))+1),IF(AND(((YEAR(EDATE(Settings!$C$7,4))*12+MONTH(EDATE(Settings!$C$7,4)))-(YEAR($H6)*12+MONTH($H6)))&gt;=0,((YEAR(EDATE(Settings!$C$7,4))*12+MONTH(EDATE(Settings!$C$7,4)))-(YEAR($H6)*12+MONTH($H6)))&lt;$F6),1,0)))</f>
        <v/>
      </c>
      <c r="W6" s="1">
        <f>IF(ISNUMBER($M6),$M6+ROW()/10000000,"")</f>
        <v/>
      </c>
      <c r="X6" s="1" t="n"/>
    </row>
    <row r="7" ht="22" customHeight="1">
      <c r="A7" s="1" t="n"/>
      <c r="B7" s="57" t="inlineStr">
        <is>
          <t>Flights home</t>
        </is>
      </c>
      <c r="C7" s="61" t="inlineStr">
        <is>
          <t>Pay-in-4</t>
        </is>
      </c>
      <c r="D7" s="62" t="n">
        <v>420</v>
      </c>
      <c r="E7" s="62" t="n">
        <v>105</v>
      </c>
      <c r="F7" s="68" t="n">
        <v>4</v>
      </c>
      <c r="G7" s="61" t="inlineStr">
        <is>
          <t>2 weeks</t>
        </is>
      </c>
      <c r="H7" s="69" t="n">
        <v>46371</v>
      </c>
      <c r="I7" s="61" t="inlineStr">
        <is>
          <t>Yes</t>
        </is>
      </c>
      <c r="J7" s="70" t="n"/>
      <c r="K7" s="24">
        <f>IF(AND($B7&lt;&gt;"",N($E7)&gt;0,N($F7)&gt;0),$E7*$F7,"")</f>
        <v/>
      </c>
      <c r="L7" s="24">
        <f>IF(AND(ISNUMBER($K7),ISNUMBER($D7)),MAX(0,$K7-$D7),"")</f>
        <v/>
      </c>
      <c r="M7" s="34">
        <f>IF(NOT(AND($B7&lt;&gt;"",N($E7)&gt;0,N($F7)&gt;0)),"",IF(ISNUMBER($J7),$J7,IF(NOT(ISNUMBER($D7)),"",IF($K7&lt;=$D7+0.005,0,IFERROR(RATE($F7,-$E7,$D7,0,IF($I7="Yes",1,0))*IF($G7="2 weeks",26,12),"")))))</f>
        <v/>
      </c>
      <c r="N7" s="71">
        <f>IF(NOT(AND(AND($B7&lt;&gt;"",N($E7)&gt;0,N($F7)&gt;0),ISNUMBER($H7))),"",IF($G7="2 weeks",$H7+14*($F7-1),EDATE($H7,$F7-1)))</f>
        <v/>
      </c>
      <c r="O7" s="72">
        <f>IF(NOT(AND(AND($B7&lt;&gt;"",N($E7)&gt;0,N($F7)&gt;0),ISNUMBER($H7))),"",$F7-IF(Settings!$C$11&lt;=$H7,0,MIN($F7,IF($G7="2 weeks",INT((Settings!$C$11-$H7-1)/14)+1,DATEDIF($H7,Settings!$C$11,"M")+IF(EDATE($H7,DATEDIF($H7,Settings!$C$11,"M"))&lt;Settings!$C$11,1,0)))))</f>
        <v/>
      </c>
      <c r="P7" s="24">
        <f>IF(ISNUMBER($O7),$O7*$E7,"")</f>
        <v/>
      </c>
      <c r="Q7" s="35">
        <f>IF(NOT(ISNUMBER($M7)),"",IF($M7&gt;=Settings!$C$8,"HIGH",IF($M7&gt;=Settings!$C$9,"CHECK","OK")))</f>
        <v/>
      </c>
      <c r="R7" s="24">
        <f>IF(NOT(AND(AND($B7&lt;&gt;"",N($E7)&gt;0,N($F7)&gt;0),ISNUMBER($H7))),"",$E7*IF($G7="2 weeks",MAX(0,MIN($F7-1,INT((EOMONTH(Settings!$C$7,0)-$H7)/14))-MAX(0,-INT(-(EDATE(Settings!$C$7,0)-$H7)/14))+1),IF(AND(((YEAR(EDATE(Settings!$C$7,0))*12+MONTH(EDATE(Settings!$C$7,0)))-(YEAR($H7)*12+MONTH($H7)))&gt;=0,((YEAR(EDATE(Settings!$C$7,0))*12+MONTH(EDATE(Settings!$C$7,0)))-(YEAR($H7)*12+MONTH($H7)))&lt;$F7),1,0)))</f>
        <v/>
      </c>
      <c r="S7" s="24">
        <f>IF(NOT(AND(AND($B7&lt;&gt;"",N($E7)&gt;0,N($F7)&gt;0),ISNUMBER($H7))),"",$E7*IF($G7="2 weeks",MAX(0,MIN($F7-1,INT((EOMONTH(Settings!$C$7,1)-$H7)/14))-MAX(0,-INT(-(EDATE(Settings!$C$7,1)-$H7)/14))+1),IF(AND(((YEAR(EDATE(Settings!$C$7,1))*12+MONTH(EDATE(Settings!$C$7,1)))-(YEAR($H7)*12+MONTH($H7)))&gt;=0,((YEAR(EDATE(Settings!$C$7,1))*12+MONTH(EDATE(Settings!$C$7,1)))-(YEAR($H7)*12+MONTH($H7)))&lt;$F7),1,0)))</f>
        <v/>
      </c>
      <c r="T7" s="24">
        <f>IF(NOT(AND(AND($B7&lt;&gt;"",N($E7)&gt;0,N($F7)&gt;0),ISNUMBER($H7))),"",$E7*IF($G7="2 weeks",MAX(0,MIN($F7-1,INT((EOMONTH(Settings!$C$7,2)-$H7)/14))-MAX(0,-INT(-(EDATE(Settings!$C$7,2)-$H7)/14))+1),IF(AND(((YEAR(EDATE(Settings!$C$7,2))*12+MONTH(EDATE(Settings!$C$7,2)))-(YEAR($H7)*12+MONTH($H7)))&gt;=0,((YEAR(EDATE(Settings!$C$7,2))*12+MONTH(EDATE(Settings!$C$7,2)))-(YEAR($H7)*12+MONTH($H7)))&lt;$F7),1,0)))</f>
        <v/>
      </c>
      <c r="U7" s="24">
        <f>IF(NOT(AND(AND($B7&lt;&gt;"",N($E7)&gt;0,N($F7)&gt;0),ISNUMBER($H7))),"",$E7*IF($G7="2 weeks",MAX(0,MIN($F7-1,INT((EOMONTH(Settings!$C$7,3)-$H7)/14))-MAX(0,-INT(-(EDATE(Settings!$C$7,3)-$H7)/14))+1),IF(AND(((YEAR(EDATE(Settings!$C$7,3))*12+MONTH(EDATE(Settings!$C$7,3)))-(YEAR($H7)*12+MONTH($H7)))&gt;=0,((YEAR(EDATE(Settings!$C$7,3))*12+MONTH(EDATE(Settings!$C$7,3)))-(YEAR($H7)*12+MONTH($H7)))&lt;$F7),1,0)))</f>
        <v/>
      </c>
      <c r="V7" s="24">
        <f>IF(NOT(AND(AND($B7&lt;&gt;"",N($E7)&gt;0,N($F7)&gt;0),ISNUMBER($H7))),"",$E7*IF($G7="2 weeks",MAX(0,MIN($F7-1,INT((EOMONTH(Settings!$C$7,4)-$H7)/14))-MAX(0,-INT(-(EDATE(Settings!$C$7,4)-$H7)/14))+1),IF(AND(((YEAR(EDATE(Settings!$C$7,4))*12+MONTH(EDATE(Settings!$C$7,4)))-(YEAR($H7)*12+MONTH($H7)))&gt;=0,((YEAR(EDATE(Settings!$C$7,4))*12+MONTH(EDATE(Settings!$C$7,4)))-(YEAR($H7)*12+MONTH($H7)))&lt;$F7),1,0)))</f>
        <v/>
      </c>
      <c r="W7" s="1">
        <f>IF(ISNUMBER($M7),$M7+ROW()/10000000,"")</f>
        <v/>
      </c>
      <c r="X7" s="1" t="n"/>
    </row>
    <row r="8" ht="22" customHeight="1">
      <c r="A8" s="1" t="n"/>
      <c r="B8" s="56" t="inlineStr">
        <is>
          <t>4K TV</t>
        </is>
      </c>
      <c r="C8" s="59" t="inlineStr">
        <is>
          <t>Store financing</t>
        </is>
      </c>
      <c r="D8" s="60" t="n">
        <v>649</v>
      </c>
      <c r="E8" s="60" t="n">
        <v>59</v>
      </c>
      <c r="F8" s="63" t="n">
        <v>12</v>
      </c>
      <c r="G8" s="59" t="inlineStr">
        <is>
          <t>Month</t>
        </is>
      </c>
      <c r="H8" s="64" t="n">
        <v>46383</v>
      </c>
      <c r="I8" s="59" t="inlineStr">
        <is>
          <t>No</t>
        </is>
      </c>
      <c r="J8" s="65" t="n"/>
      <c r="K8" s="21">
        <f>IF(AND($B8&lt;&gt;"",N($E8)&gt;0,N($F8)&gt;0),$E8*$F8,"")</f>
        <v/>
      </c>
      <c r="L8" s="21">
        <f>IF(AND(ISNUMBER($K8),ISNUMBER($D8)),MAX(0,$K8-$D8),"")</f>
        <v/>
      </c>
      <c r="M8" s="32">
        <f>IF(NOT(AND($B8&lt;&gt;"",N($E8)&gt;0,N($F8)&gt;0)),"",IF(ISNUMBER($J8),$J8,IF(NOT(ISNUMBER($D8)),"",IF($K8&lt;=$D8+0.005,0,IFERROR(RATE($F8,-$E8,$D8,0,IF($I8="Yes",1,0))*IF($G8="2 weeks",26,12),"")))))</f>
        <v/>
      </c>
      <c r="N8" s="66">
        <f>IF(NOT(AND(AND($B8&lt;&gt;"",N($E8)&gt;0,N($F8)&gt;0),ISNUMBER($H8))),"",IF($G8="2 weeks",$H8+14*($F8-1),EDATE($H8,$F8-1)))</f>
        <v/>
      </c>
      <c r="O8" s="67">
        <f>IF(NOT(AND(AND($B8&lt;&gt;"",N($E8)&gt;0,N($F8)&gt;0),ISNUMBER($H8))),"",$F8-IF(Settings!$C$11&lt;=$H8,0,MIN($F8,IF($G8="2 weeks",INT((Settings!$C$11-$H8-1)/14)+1,DATEDIF($H8,Settings!$C$11,"M")+IF(EDATE($H8,DATEDIF($H8,Settings!$C$11,"M"))&lt;Settings!$C$11,1,0)))))</f>
        <v/>
      </c>
      <c r="P8" s="21">
        <f>IF(ISNUMBER($O8),$O8*$E8,"")</f>
        <v/>
      </c>
      <c r="Q8" s="33">
        <f>IF(NOT(ISNUMBER($M8)),"",IF($M8&gt;=Settings!$C$8,"HIGH",IF($M8&gt;=Settings!$C$9,"CHECK","OK")))</f>
        <v/>
      </c>
      <c r="R8" s="21">
        <f>IF(NOT(AND(AND($B8&lt;&gt;"",N($E8)&gt;0,N($F8)&gt;0),ISNUMBER($H8))),"",$E8*IF($G8="2 weeks",MAX(0,MIN($F8-1,INT((EOMONTH(Settings!$C$7,0)-$H8)/14))-MAX(0,-INT(-(EDATE(Settings!$C$7,0)-$H8)/14))+1),IF(AND(((YEAR(EDATE(Settings!$C$7,0))*12+MONTH(EDATE(Settings!$C$7,0)))-(YEAR($H8)*12+MONTH($H8)))&gt;=0,((YEAR(EDATE(Settings!$C$7,0))*12+MONTH(EDATE(Settings!$C$7,0)))-(YEAR($H8)*12+MONTH($H8)))&lt;$F8),1,0)))</f>
        <v/>
      </c>
      <c r="S8" s="21">
        <f>IF(NOT(AND(AND($B8&lt;&gt;"",N($E8)&gt;0,N($F8)&gt;0),ISNUMBER($H8))),"",$E8*IF($G8="2 weeks",MAX(0,MIN($F8-1,INT((EOMONTH(Settings!$C$7,1)-$H8)/14))-MAX(0,-INT(-(EDATE(Settings!$C$7,1)-$H8)/14))+1),IF(AND(((YEAR(EDATE(Settings!$C$7,1))*12+MONTH(EDATE(Settings!$C$7,1)))-(YEAR($H8)*12+MONTH($H8)))&gt;=0,((YEAR(EDATE(Settings!$C$7,1))*12+MONTH(EDATE(Settings!$C$7,1)))-(YEAR($H8)*12+MONTH($H8)))&lt;$F8),1,0)))</f>
        <v/>
      </c>
      <c r="T8" s="21">
        <f>IF(NOT(AND(AND($B8&lt;&gt;"",N($E8)&gt;0,N($F8)&gt;0),ISNUMBER($H8))),"",$E8*IF($G8="2 weeks",MAX(0,MIN($F8-1,INT((EOMONTH(Settings!$C$7,2)-$H8)/14))-MAX(0,-INT(-(EDATE(Settings!$C$7,2)-$H8)/14))+1),IF(AND(((YEAR(EDATE(Settings!$C$7,2))*12+MONTH(EDATE(Settings!$C$7,2)))-(YEAR($H8)*12+MONTH($H8)))&gt;=0,((YEAR(EDATE(Settings!$C$7,2))*12+MONTH(EDATE(Settings!$C$7,2)))-(YEAR($H8)*12+MONTH($H8)))&lt;$F8),1,0)))</f>
        <v/>
      </c>
      <c r="U8" s="21">
        <f>IF(NOT(AND(AND($B8&lt;&gt;"",N($E8)&gt;0,N($F8)&gt;0),ISNUMBER($H8))),"",$E8*IF($G8="2 weeks",MAX(0,MIN($F8-1,INT((EOMONTH(Settings!$C$7,3)-$H8)/14))-MAX(0,-INT(-(EDATE(Settings!$C$7,3)-$H8)/14))+1),IF(AND(((YEAR(EDATE(Settings!$C$7,3))*12+MONTH(EDATE(Settings!$C$7,3)))-(YEAR($H8)*12+MONTH($H8)))&gt;=0,((YEAR(EDATE(Settings!$C$7,3))*12+MONTH(EDATE(Settings!$C$7,3)))-(YEAR($H8)*12+MONTH($H8)))&lt;$F8),1,0)))</f>
        <v/>
      </c>
      <c r="V8" s="21">
        <f>IF(NOT(AND(AND($B8&lt;&gt;"",N($E8)&gt;0,N($F8)&gt;0),ISNUMBER($H8))),"",$E8*IF($G8="2 weeks",MAX(0,MIN($F8-1,INT((EOMONTH(Settings!$C$7,4)-$H8)/14))-MAX(0,-INT(-(EDATE(Settings!$C$7,4)-$H8)/14))+1),IF(AND(((YEAR(EDATE(Settings!$C$7,4))*12+MONTH(EDATE(Settings!$C$7,4)))-(YEAR($H8)*12+MONTH($H8)))&gt;=0,((YEAR(EDATE(Settings!$C$7,4))*12+MONTH(EDATE(Settings!$C$7,4)))-(YEAR($H8)*12+MONTH($H8)))&lt;$F8),1,0)))</f>
        <v/>
      </c>
      <c r="W8" s="1">
        <f>IF(ISNUMBER($M8),$M8+ROW()/10000000,"")</f>
        <v/>
      </c>
      <c r="X8" s="1" t="n"/>
    </row>
    <row r="9" ht="22" customHeight="1">
      <c r="A9" s="1" t="n"/>
      <c r="B9" s="57" t="inlineStr">
        <is>
          <t>Game console</t>
        </is>
      </c>
      <c r="C9" s="61" t="inlineStr">
        <is>
          <t>Monthly BNPL</t>
        </is>
      </c>
      <c r="D9" s="62" t="n">
        <v>499</v>
      </c>
      <c r="E9" s="62" t="n">
        <v>89.5</v>
      </c>
      <c r="F9" s="68" t="n">
        <v>6</v>
      </c>
      <c r="G9" s="61" t="inlineStr">
        <is>
          <t>Month</t>
        </is>
      </c>
      <c r="H9" s="69" t="n">
        <v>46383</v>
      </c>
      <c r="I9" s="61" t="inlineStr">
        <is>
          <t>No</t>
        </is>
      </c>
      <c r="J9" s="70" t="n"/>
      <c r="K9" s="24">
        <f>IF(AND($B9&lt;&gt;"",N($E9)&gt;0,N($F9)&gt;0),$E9*$F9,"")</f>
        <v/>
      </c>
      <c r="L9" s="24">
        <f>IF(AND(ISNUMBER($K9),ISNUMBER($D9)),MAX(0,$K9-$D9),"")</f>
        <v/>
      </c>
      <c r="M9" s="34">
        <f>IF(NOT(AND($B9&lt;&gt;"",N($E9)&gt;0,N($F9)&gt;0)),"",IF(ISNUMBER($J9),$J9,IF(NOT(ISNUMBER($D9)),"",IF($K9&lt;=$D9+0.005,0,IFERROR(RATE($F9,-$E9,$D9,0,IF($I9="Yes",1,0))*IF($G9="2 weeks",26,12),"")))))</f>
        <v/>
      </c>
      <c r="N9" s="71">
        <f>IF(NOT(AND(AND($B9&lt;&gt;"",N($E9)&gt;0,N($F9)&gt;0),ISNUMBER($H9))),"",IF($G9="2 weeks",$H9+14*($F9-1),EDATE($H9,$F9-1)))</f>
        <v/>
      </c>
      <c r="O9" s="72">
        <f>IF(NOT(AND(AND($B9&lt;&gt;"",N($E9)&gt;0,N($F9)&gt;0),ISNUMBER($H9))),"",$F9-IF(Settings!$C$11&lt;=$H9,0,MIN($F9,IF($G9="2 weeks",INT((Settings!$C$11-$H9-1)/14)+1,DATEDIF($H9,Settings!$C$11,"M")+IF(EDATE($H9,DATEDIF($H9,Settings!$C$11,"M"))&lt;Settings!$C$11,1,0)))))</f>
        <v/>
      </c>
      <c r="P9" s="24">
        <f>IF(ISNUMBER($O9),$O9*$E9,"")</f>
        <v/>
      </c>
      <c r="Q9" s="35">
        <f>IF(NOT(ISNUMBER($M9)),"",IF($M9&gt;=Settings!$C$8,"HIGH",IF($M9&gt;=Settings!$C$9,"CHECK","OK")))</f>
        <v/>
      </c>
      <c r="R9" s="24">
        <f>IF(NOT(AND(AND($B9&lt;&gt;"",N($E9)&gt;0,N($F9)&gt;0),ISNUMBER($H9))),"",$E9*IF($G9="2 weeks",MAX(0,MIN($F9-1,INT((EOMONTH(Settings!$C$7,0)-$H9)/14))-MAX(0,-INT(-(EDATE(Settings!$C$7,0)-$H9)/14))+1),IF(AND(((YEAR(EDATE(Settings!$C$7,0))*12+MONTH(EDATE(Settings!$C$7,0)))-(YEAR($H9)*12+MONTH($H9)))&gt;=0,((YEAR(EDATE(Settings!$C$7,0))*12+MONTH(EDATE(Settings!$C$7,0)))-(YEAR($H9)*12+MONTH($H9)))&lt;$F9),1,0)))</f>
        <v/>
      </c>
      <c r="S9" s="24">
        <f>IF(NOT(AND(AND($B9&lt;&gt;"",N($E9)&gt;0,N($F9)&gt;0),ISNUMBER($H9))),"",$E9*IF($G9="2 weeks",MAX(0,MIN($F9-1,INT((EOMONTH(Settings!$C$7,1)-$H9)/14))-MAX(0,-INT(-(EDATE(Settings!$C$7,1)-$H9)/14))+1),IF(AND(((YEAR(EDATE(Settings!$C$7,1))*12+MONTH(EDATE(Settings!$C$7,1)))-(YEAR($H9)*12+MONTH($H9)))&gt;=0,((YEAR(EDATE(Settings!$C$7,1))*12+MONTH(EDATE(Settings!$C$7,1)))-(YEAR($H9)*12+MONTH($H9)))&lt;$F9),1,0)))</f>
        <v/>
      </c>
      <c r="T9" s="24">
        <f>IF(NOT(AND(AND($B9&lt;&gt;"",N($E9)&gt;0,N($F9)&gt;0),ISNUMBER($H9))),"",$E9*IF($G9="2 weeks",MAX(0,MIN($F9-1,INT((EOMONTH(Settings!$C$7,2)-$H9)/14))-MAX(0,-INT(-(EDATE(Settings!$C$7,2)-$H9)/14))+1),IF(AND(((YEAR(EDATE(Settings!$C$7,2))*12+MONTH(EDATE(Settings!$C$7,2)))-(YEAR($H9)*12+MONTH($H9)))&gt;=0,((YEAR(EDATE(Settings!$C$7,2))*12+MONTH(EDATE(Settings!$C$7,2)))-(YEAR($H9)*12+MONTH($H9)))&lt;$F9),1,0)))</f>
        <v/>
      </c>
      <c r="U9" s="24">
        <f>IF(NOT(AND(AND($B9&lt;&gt;"",N($E9)&gt;0,N($F9)&gt;0),ISNUMBER($H9))),"",$E9*IF($G9="2 weeks",MAX(0,MIN($F9-1,INT((EOMONTH(Settings!$C$7,3)-$H9)/14))-MAX(0,-INT(-(EDATE(Settings!$C$7,3)-$H9)/14))+1),IF(AND(((YEAR(EDATE(Settings!$C$7,3))*12+MONTH(EDATE(Settings!$C$7,3)))-(YEAR($H9)*12+MONTH($H9)))&gt;=0,((YEAR(EDATE(Settings!$C$7,3))*12+MONTH(EDATE(Settings!$C$7,3)))-(YEAR($H9)*12+MONTH($H9)))&lt;$F9),1,0)))</f>
        <v/>
      </c>
      <c r="V9" s="24">
        <f>IF(NOT(AND(AND($B9&lt;&gt;"",N($E9)&gt;0,N($F9)&gt;0),ISNUMBER($H9))),"",$E9*IF($G9="2 weeks",MAX(0,MIN($F9-1,INT((EOMONTH(Settings!$C$7,4)-$H9)/14))-MAX(0,-INT(-(EDATE(Settings!$C$7,4)-$H9)/14))+1),IF(AND(((YEAR(EDATE(Settings!$C$7,4))*12+MONTH(EDATE(Settings!$C$7,4)))-(YEAR($H9)*12+MONTH($H9)))&gt;=0,((YEAR(EDATE(Settings!$C$7,4))*12+MONTH(EDATE(Settings!$C$7,4)))-(YEAR($H9)*12+MONTH($H9)))&lt;$F9),1,0)))</f>
        <v/>
      </c>
      <c r="W9" s="1">
        <f>IF(ISNUMBER($M9),$M9+ROW()/10000000,"")</f>
        <v/>
      </c>
      <c r="X9" s="1" t="n"/>
    </row>
    <row r="10" ht="22" customHeight="1">
      <c r="A10" s="1" t="n"/>
      <c r="B10" s="56" t="n"/>
      <c r="C10" s="59" t="n"/>
      <c r="D10" s="60" t="n"/>
      <c r="E10" s="60" t="n"/>
      <c r="F10" s="63" t="n"/>
      <c r="G10" s="59" t="n"/>
      <c r="H10" s="64" t="n"/>
      <c r="I10" s="59" t="n"/>
      <c r="J10" s="65" t="n"/>
      <c r="K10" s="21">
        <f>IF(AND($B10&lt;&gt;"",N($E10)&gt;0,N($F10)&gt;0),$E10*$F10,"")</f>
        <v/>
      </c>
      <c r="L10" s="21">
        <f>IF(AND(ISNUMBER($K10),ISNUMBER($D10)),MAX(0,$K10-$D10),"")</f>
        <v/>
      </c>
      <c r="M10" s="32">
        <f>IF(NOT(AND($B10&lt;&gt;"",N($E10)&gt;0,N($F10)&gt;0)),"",IF(ISNUMBER($J10),$J10,IF(NOT(ISNUMBER($D10)),"",IF($K10&lt;=$D10+0.005,0,IFERROR(RATE($F10,-$E10,$D10,0,IF($I10="Yes",1,0))*IF($G10="2 weeks",26,12),"")))))</f>
        <v/>
      </c>
      <c r="N10" s="66">
        <f>IF(NOT(AND(AND($B10&lt;&gt;"",N($E10)&gt;0,N($F10)&gt;0),ISNUMBER($H10))),"",IF($G10="2 weeks",$H10+14*($F10-1),EDATE($H10,$F10-1)))</f>
        <v/>
      </c>
      <c r="O10" s="67">
        <f>IF(NOT(AND(AND($B10&lt;&gt;"",N($E10)&gt;0,N($F10)&gt;0),ISNUMBER($H10))),"",$F10-IF(Settings!$C$11&lt;=$H10,0,MIN($F10,IF($G10="2 weeks",INT((Settings!$C$11-$H10-1)/14)+1,DATEDIF($H10,Settings!$C$11,"M")+IF(EDATE($H10,DATEDIF($H10,Settings!$C$11,"M"))&lt;Settings!$C$11,1,0)))))</f>
        <v/>
      </c>
      <c r="P10" s="21">
        <f>IF(ISNUMBER($O10),$O10*$E10,"")</f>
        <v/>
      </c>
      <c r="Q10" s="33">
        <f>IF(NOT(ISNUMBER($M10)),"",IF($M10&gt;=Settings!$C$8,"HIGH",IF($M10&gt;=Settings!$C$9,"CHECK","OK")))</f>
        <v/>
      </c>
      <c r="R10" s="21">
        <f>IF(NOT(AND(AND($B10&lt;&gt;"",N($E10)&gt;0,N($F10)&gt;0),ISNUMBER($H10))),"",$E10*IF($G10="2 weeks",MAX(0,MIN($F10-1,INT((EOMONTH(Settings!$C$7,0)-$H10)/14))-MAX(0,-INT(-(EDATE(Settings!$C$7,0)-$H10)/14))+1),IF(AND(((YEAR(EDATE(Settings!$C$7,0))*12+MONTH(EDATE(Settings!$C$7,0)))-(YEAR($H10)*12+MONTH($H10)))&gt;=0,((YEAR(EDATE(Settings!$C$7,0))*12+MONTH(EDATE(Settings!$C$7,0)))-(YEAR($H10)*12+MONTH($H10)))&lt;$F10),1,0)))</f>
        <v/>
      </c>
      <c r="S10" s="21">
        <f>IF(NOT(AND(AND($B10&lt;&gt;"",N($E10)&gt;0,N($F10)&gt;0),ISNUMBER($H10))),"",$E10*IF($G10="2 weeks",MAX(0,MIN($F10-1,INT((EOMONTH(Settings!$C$7,1)-$H10)/14))-MAX(0,-INT(-(EDATE(Settings!$C$7,1)-$H10)/14))+1),IF(AND(((YEAR(EDATE(Settings!$C$7,1))*12+MONTH(EDATE(Settings!$C$7,1)))-(YEAR($H10)*12+MONTH($H10)))&gt;=0,((YEAR(EDATE(Settings!$C$7,1))*12+MONTH(EDATE(Settings!$C$7,1)))-(YEAR($H10)*12+MONTH($H10)))&lt;$F10),1,0)))</f>
        <v/>
      </c>
      <c r="T10" s="21">
        <f>IF(NOT(AND(AND($B10&lt;&gt;"",N($E10)&gt;0,N($F10)&gt;0),ISNUMBER($H10))),"",$E10*IF($G10="2 weeks",MAX(0,MIN($F10-1,INT((EOMONTH(Settings!$C$7,2)-$H10)/14))-MAX(0,-INT(-(EDATE(Settings!$C$7,2)-$H10)/14))+1),IF(AND(((YEAR(EDATE(Settings!$C$7,2))*12+MONTH(EDATE(Settings!$C$7,2)))-(YEAR($H10)*12+MONTH($H10)))&gt;=0,((YEAR(EDATE(Settings!$C$7,2))*12+MONTH(EDATE(Settings!$C$7,2)))-(YEAR($H10)*12+MONTH($H10)))&lt;$F10),1,0)))</f>
        <v/>
      </c>
      <c r="U10" s="21">
        <f>IF(NOT(AND(AND($B10&lt;&gt;"",N($E10)&gt;0,N($F10)&gt;0),ISNUMBER($H10))),"",$E10*IF($G10="2 weeks",MAX(0,MIN($F10-1,INT((EOMONTH(Settings!$C$7,3)-$H10)/14))-MAX(0,-INT(-(EDATE(Settings!$C$7,3)-$H10)/14))+1),IF(AND(((YEAR(EDATE(Settings!$C$7,3))*12+MONTH(EDATE(Settings!$C$7,3)))-(YEAR($H10)*12+MONTH($H10)))&gt;=0,((YEAR(EDATE(Settings!$C$7,3))*12+MONTH(EDATE(Settings!$C$7,3)))-(YEAR($H10)*12+MONTH($H10)))&lt;$F10),1,0)))</f>
        <v/>
      </c>
      <c r="V10" s="21">
        <f>IF(NOT(AND(AND($B10&lt;&gt;"",N($E10)&gt;0,N($F10)&gt;0),ISNUMBER($H10))),"",$E10*IF($G10="2 weeks",MAX(0,MIN($F10-1,INT((EOMONTH(Settings!$C$7,4)-$H10)/14))-MAX(0,-INT(-(EDATE(Settings!$C$7,4)-$H10)/14))+1),IF(AND(((YEAR(EDATE(Settings!$C$7,4))*12+MONTH(EDATE(Settings!$C$7,4)))-(YEAR($H10)*12+MONTH($H10)))&gt;=0,((YEAR(EDATE(Settings!$C$7,4))*12+MONTH(EDATE(Settings!$C$7,4)))-(YEAR($H10)*12+MONTH($H10)))&lt;$F10),1,0)))</f>
        <v/>
      </c>
      <c r="W10" s="1">
        <f>IF(ISNUMBER($M10),$M10+ROW()/10000000,"")</f>
        <v/>
      </c>
      <c r="X10" s="1" t="n"/>
    </row>
    <row r="11" ht="22" customHeight="1">
      <c r="A11" s="1" t="n"/>
      <c r="B11" s="57" t="n"/>
      <c r="C11" s="61" t="n"/>
      <c r="D11" s="62" t="n"/>
      <c r="E11" s="62" t="n"/>
      <c r="F11" s="68" t="n"/>
      <c r="G11" s="61" t="n"/>
      <c r="H11" s="69" t="n"/>
      <c r="I11" s="61" t="n"/>
      <c r="J11" s="70" t="n"/>
      <c r="K11" s="24">
        <f>IF(AND($B11&lt;&gt;"",N($E11)&gt;0,N($F11)&gt;0),$E11*$F11,"")</f>
        <v/>
      </c>
      <c r="L11" s="24">
        <f>IF(AND(ISNUMBER($K11),ISNUMBER($D11)),MAX(0,$K11-$D11),"")</f>
        <v/>
      </c>
      <c r="M11" s="34">
        <f>IF(NOT(AND($B11&lt;&gt;"",N($E11)&gt;0,N($F11)&gt;0)),"",IF(ISNUMBER($J11),$J11,IF(NOT(ISNUMBER($D11)),"",IF($K11&lt;=$D11+0.005,0,IFERROR(RATE($F11,-$E11,$D11,0,IF($I11="Yes",1,0))*IF($G11="2 weeks",26,12),"")))))</f>
        <v/>
      </c>
      <c r="N11" s="71">
        <f>IF(NOT(AND(AND($B11&lt;&gt;"",N($E11)&gt;0,N($F11)&gt;0),ISNUMBER($H11))),"",IF($G11="2 weeks",$H11+14*($F11-1),EDATE($H11,$F11-1)))</f>
        <v/>
      </c>
      <c r="O11" s="72">
        <f>IF(NOT(AND(AND($B11&lt;&gt;"",N($E11)&gt;0,N($F11)&gt;0),ISNUMBER($H11))),"",$F11-IF(Settings!$C$11&lt;=$H11,0,MIN($F11,IF($G11="2 weeks",INT((Settings!$C$11-$H11-1)/14)+1,DATEDIF($H11,Settings!$C$11,"M")+IF(EDATE($H11,DATEDIF($H11,Settings!$C$11,"M"))&lt;Settings!$C$11,1,0)))))</f>
        <v/>
      </c>
      <c r="P11" s="24">
        <f>IF(ISNUMBER($O11),$O11*$E11,"")</f>
        <v/>
      </c>
      <c r="Q11" s="35">
        <f>IF(NOT(ISNUMBER($M11)),"",IF($M11&gt;=Settings!$C$8,"HIGH",IF($M11&gt;=Settings!$C$9,"CHECK","OK")))</f>
        <v/>
      </c>
      <c r="R11" s="24">
        <f>IF(NOT(AND(AND($B11&lt;&gt;"",N($E11)&gt;0,N($F11)&gt;0),ISNUMBER($H11))),"",$E11*IF($G11="2 weeks",MAX(0,MIN($F11-1,INT((EOMONTH(Settings!$C$7,0)-$H11)/14))-MAX(0,-INT(-(EDATE(Settings!$C$7,0)-$H11)/14))+1),IF(AND(((YEAR(EDATE(Settings!$C$7,0))*12+MONTH(EDATE(Settings!$C$7,0)))-(YEAR($H11)*12+MONTH($H11)))&gt;=0,((YEAR(EDATE(Settings!$C$7,0))*12+MONTH(EDATE(Settings!$C$7,0)))-(YEAR($H11)*12+MONTH($H11)))&lt;$F11),1,0)))</f>
        <v/>
      </c>
      <c r="S11" s="24">
        <f>IF(NOT(AND(AND($B11&lt;&gt;"",N($E11)&gt;0,N($F11)&gt;0),ISNUMBER($H11))),"",$E11*IF($G11="2 weeks",MAX(0,MIN($F11-1,INT((EOMONTH(Settings!$C$7,1)-$H11)/14))-MAX(0,-INT(-(EDATE(Settings!$C$7,1)-$H11)/14))+1),IF(AND(((YEAR(EDATE(Settings!$C$7,1))*12+MONTH(EDATE(Settings!$C$7,1)))-(YEAR($H11)*12+MONTH($H11)))&gt;=0,((YEAR(EDATE(Settings!$C$7,1))*12+MONTH(EDATE(Settings!$C$7,1)))-(YEAR($H11)*12+MONTH($H11)))&lt;$F11),1,0)))</f>
        <v/>
      </c>
      <c r="T11" s="24">
        <f>IF(NOT(AND(AND($B11&lt;&gt;"",N($E11)&gt;0,N($F11)&gt;0),ISNUMBER($H11))),"",$E11*IF($G11="2 weeks",MAX(0,MIN($F11-1,INT((EOMONTH(Settings!$C$7,2)-$H11)/14))-MAX(0,-INT(-(EDATE(Settings!$C$7,2)-$H11)/14))+1),IF(AND(((YEAR(EDATE(Settings!$C$7,2))*12+MONTH(EDATE(Settings!$C$7,2)))-(YEAR($H11)*12+MONTH($H11)))&gt;=0,((YEAR(EDATE(Settings!$C$7,2))*12+MONTH(EDATE(Settings!$C$7,2)))-(YEAR($H11)*12+MONTH($H11)))&lt;$F11),1,0)))</f>
        <v/>
      </c>
      <c r="U11" s="24">
        <f>IF(NOT(AND(AND($B11&lt;&gt;"",N($E11)&gt;0,N($F11)&gt;0),ISNUMBER($H11))),"",$E11*IF($G11="2 weeks",MAX(0,MIN($F11-1,INT((EOMONTH(Settings!$C$7,3)-$H11)/14))-MAX(0,-INT(-(EDATE(Settings!$C$7,3)-$H11)/14))+1),IF(AND(((YEAR(EDATE(Settings!$C$7,3))*12+MONTH(EDATE(Settings!$C$7,3)))-(YEAR($H11)*12+MONTH($H11)))&gt;=0,((YEAR(EDATE(Settings!$C$7,3))*12+MONTH(EDATE(Settings!$C$7,3)))-(YEAR($H11)*12+MONTH($H11)))&lt;$F11),1,0)))</f>
        <v/>
      </c>
      <c r="V11" s="24">
        <f>IF(NOT(AND(AND($B11&lt;&gt;"",N($E11)&gt;0,N($F11)&gt;0),ISNUMBER($H11))),"",$E11*IF($G11="2 weeks",MAX(0,MIN($F11-1,INT((EOMONTH(Settings!$C$7,4)-$H11)/14))-MAX(0,-INT(-(EDATE(Settings!$C$7,4)-$H11)/14))+1),IF(AND(((YEAR(EDATE(Settings!$C$7,4))*12+MONTH(EDATE(Settings!$C$7,4)))-(YEAR($H11)*12+MONTH($H11)))&gt;=0,((YEAR(EDATE(Settings!$C$7,4))*12+MONTH(EDATE(Settings!$C$7,4)))-(YEAR($H11)*12+MONTH($H11)))&lt;$F11),1,0)))</f>
        <v/>
      </c>
      <c r="W11" s="1">
        <f>IF(ISNUMBER($M11),$M11+ROW()/10000000,"")</f>
        <v/>
      </c>
      <c r="X11" s="1" t="n"/>
    </row>
    <row r="12" ht="22" customHeight="1">
      <c r="A12" s="1" t="n"/>
      <c r="B12" s="56" t="n"/>
      <c r="C12" s="59" t="n"/>
      <c r="D12" s="60" t="n"/>
      <c r="E12" s="60" t="n"/>
      <c r="F12" s="63" t="n"/>
      <c r="G12" s="59" t="n"/>
      <c r="H12" s="64" t="n"/>
      <c r="I12" s="59" t="n"/>
      <c r="J12" s="65" t="n"/>
      <c r="K12" s="21">
        <f>IF(AND($B12&lt;&gt;"",N($E12)&gt;0,N($F12)&gt;0),$E12*$F12,"")</f>
        <v/>
      </c>
      <c r="L12" s="21">
        <f>IF(AND(ISNUMBER($K12),ISNUMBER($D12)),MAX(0,$K12-$D12),"")</f>
        <v/>
      </c>
      <c r="M12" s="32">
        <f>IF(NOT(AND($B12&lt;&gt;"",N($E12)&gt;0,N($F12)&gt;0)),"",IF(ISNUMBER($J12),$J12,IF(NOT(ISNUMBER($D12)),"",IF($K12&lt;=$D12+0.005,0,IFERROR(RATE($F12,-$E12,$D12,0,IF($I12="Yes",1,0))*IF($G12="2 weeks",26,12),"")))))</f>
        <v/>
      </c>
      <c r="N12" s="66">
        <f>IF(NOT(AND(AND($B12&lt;&gt;"",N($E12)&gt;0,N($F12)&gt;0),ISNUMBER($H12))),"",IF($G12="2 weeks",$H12+14*($F12-1),EDATE($H12,$F12-1)))</f>
        <v/>
      </c>
      <c r="O12" s="67">
        <f>IF(NOT(AND(AND($B12&lt;&gt;"",N($E12)&gt;0,N($F12)&gt;0),ISNUMBER($H12))),"",$F12-IF(Settings!$C$11&lt;=$H12,0,MIN($F12,IF($G12="2 weeks",INT((Settings!$C$11-$H12-1)/14)+1,DATEDIF($H12,Settings!$C$11,"M")+IF(EDATE($H12,DATEDIF($H12,Settings!$C$11,"M"))&lt;Settings!$C$11,1,0)))))</f>
        <v/>
      </c>
      <c r="P12" s="21">
        <f>IF(ISNUMBER($O12),$O12*$E12,"")</f>
        <v/>
      </c>
      <c r="Q12" s="33">
        <f>IF(NOT(ISNUMBER($M12)),"",IF($M12&gt;=Settings!$C$8,"HIGH",IF($M12&gt;=Settings!$C$9,"CHECK","OK")))</f>
        <v/>
      </c>
      <c r="R12" s="21">
        <f>IF(NOT(AND(AND($B12&lt;&gt;"",N($E12)&gt;0,N($F12)&gt;0),ISNUMBER($H12))),"",$E12*IF($G12="2 weeks",MAX(0,MIN($F12-1,INT((EOMONTH(Settings!$C$7,0)-$H12)/14))-MAX(0,-INT(-(EDATE(Settings!$C$7,0)-$H12)/14))+1),IF(AND(((YEAR(EDATE(Settings!$C$7,0))*12+MONTH(EDATE(Settings!$C$7,0)))-(YEAR($H12)*12+MONTH($H12)))&gt;=0,((YEAR(EDATE(Settings!$C$7,0))*12+MONTH(EDATE(Settings!$C$7,0)))-(YEAR($H12)*12+MONTH($H12)))&lt;$F12),1,0)))</f>
        <v/>
      </c>
      <c r="S12" s="21">
        <f>IF(NOT(AND(AND($B12&lt;&gt;"",N($E12)&gt;0,N($F12)&gt;0),ISNUMBER($H12))),"",$E12*IF($G12="2 weeks",MAX(0,MIN($F12-1,INT((EOMONTH(Settings!$C$7,1)-$H12)/14))-MAX(0,-INT(-(EDATE(Settings!$C$7,1)-$H12)/14))+1),IF(AND(((YEAR(EDATE(Settings!$C$7,1))*12+MONTH(EDATE(Settings!$C$7,1)))-(YEAR($H12)*12+MONTH($H12)))&gt;=0,((YEAR(EDATE(Settings!$C$7,1))*12+MONTH(EDATE(Settings!$C$7,1)))-(YEAR($H12)*12+MONTH($H12)))&lt;$F12),1,0)))</f>
        <v/>
      </c>
      <c r="T12" s="21">
        <f>IF(NOT(AND(AND($B12&lt;&gt;"",N($E12)&gt;0,N($F12)&gt;0),ISNUMBER($H12))),"",$E12*IF($G12="2 weeks",MAX(0,MIN($F12-1,INT((EOMONTH(Settings!$C$7,2)-$H12)/14))-MAX(0,-INT(-(EDATE(Settings!$C$7,2)-$H12)/14))+1),IF(AND(((YEAR(EDATE(Settings!$C$7,2))*12+MONTH(EDATE(Settings!$C$7,2)))-(YEAR($H12)*12+MONTH($H12)))&gt;=0,((YEAR(EDATE(Settings!$C$7,2))*12+MONTH(EDATE(Settings!$C$7,2)))-(YEAR($H12)*12+MONTH($H12)))&lt;$F12),1,0)))</f>
        <v/>
      </c>
      <c r="U12" s="21">
        <f>IF(NOT(AND(AND($B12&lt;&gt;"",N($E12)&gt;0,N($F12)&gt;0),ISNUMBER($H12))),"",$E12*IF($G12="2 weeks",MAX(0,MIN($F12-1,INT((EOMONTH(Settings!$C$7,3)-$H12)/14))-MAX(0,-INT(-(EDATE(Settings!$C$7,3)-$H12)/14))+1),IF(AND(((YEAR(EDATE(Settings!$C$7,3))*12+MONTH(EDATE(Settings!$C$7,3)))-(YEAR($H12)*12+MONTH($H12)))&gt;=0,((YEAR(EDATE(Settings!$C$7,3))*12+MONTH(EDATE(Settings!$C$7,3)))-(YEAR($H12)*12+MONTH($H12)))&lt;$F12),1,0)))</f>
        <v/>
      </c>
      <c r="V12" s="21">
        <f>IF(NOT(AND(AND($B12&lt;&gt;"",N($E12)&gt;0,N($F12)&gt;0),ISNUMBER($H12))),"",$E12*IF($G12="2 weeks",MAX(0,MIN($F12-1,INT((EOMONTH(Settings!$C$7,4)-$H12)/14))-MAX(0,-INT(-(EDATE(Settings!$C$7,4)-$H12)/14))+1),IF(AND(((YEAR(EDATE(Settings!$C$7,4))*12+MONTH(EDATE(Settings!$C$7,4)))-(YEAR($H12)*12+MONTH($H12)))&gt;=0,((YEAR(EDATE(Settings!$C$7,4))*12+MONTH(EDATE(Settings!$C$7,4)))-(YEAR($H12)*12+MONTH($H12)))&lt;$F12),1,0)))</f>
        <v/>
      </c>
      <c r="W12" s="1">
        <f>IF(ISNUMBER($M12),$M12+ROW()/10000000,"")</f>
        <v/>
      </c>
      <c r="X12" s="1" t="n"/>
    </row>
    <row r="13" ht="22" customHeight="1">
      <c r="A13" s="1" t="n"/>
      <c r="B13" s="57" t="n"/>
      <c r="C13" s="61" t="n"/>
      <c r="D13" s="62" t="n"/>
      <c r="E13" s="62" t="n"/>
      <c r="F13" s="68" t="n"/>
      <c r="G13" s="61" t="n"/>
      <c r="H13" s="69" t="n"/>
      <c r="I13" s="61" t="n"/>
      <c r="J13" s="70" t="n"/>
      <c r="K13" s="24">
        <f>IF(AND($B13&lt;&gt;"",N($E13)&gt;0,N($F13)&gt;0),$E13*$F13,"")</f>
        <v/>
      </c>
      <c r="L13" s="24">
        <f>IF(AND(ISNUMBER($K13),ISNUMBER($D13)),MAX(0,$K13-$D13),"")</f>
        <v/>
      </c>
      <c r="M13" s="34">
        <f>IF(NOT(AND($B13&lt;&gt;"",N($E13)&gt;0,N($F13)&gt;0)),"",IF(ISNUMBER($J13),$J13,IF(NOT(ISNUMBER($D13)),"",IF($K13&lt;=$D13+0.005,0,IFERROR(RATE($F13,-$E13,$D13,0,IF($I13="Yes",1,0))*IF($G13="2 weeks",26,12),"")))))</f>
        <v/>
      </c>
      <c r="N13" s="71">
        <f>IF(NOT(AND(AND($B13&lt;&gt;"",N($E13)&gt;0,N($F13)&gt;0),ISNUMBER($H13))),"",IF($G13="2 weeks",$H13+14*($F13-1),EDATE($H13,$F13-1)))</f>
        <v/>
      </c>
      <c r="O13" s="72">
        <f>IF(NOT(AND(AND($B13&lt;&gt;"",N($E13)&gt;0,N($F13)&gt;0),ISNUMBER($H13))),"",$F13-IF(Settings!$C$11&lt;=$H13,0,MIN($F13,IF($G13="2 weeks",INT((Settings!$C$11-$H13-1)/14)+1,DATEDIF($H13,Settings!$C$11,"M")+IF(EDATE($H13,DATEDIF($H13,Settings!$C$11,"M"))&lt;Settings!$C$11,1,0)))))</f>
        <v/>
      </c>
      <c r="P13" s="24">
        <f>IF(ISNUMBER($O13),$O13*$E13,"")</f>
        <v/>
      </c>
      <c r="Q13" s="35">
        <f>IF(NOT(ISNUMBER($M13)),"",IF($M13&gt;=Settings!$C$8,"HIGH",IF($M13&gt;=Settings!$C$9,"CHECK","OK")))</f>
        <v/>
      </c>
      <c r="R13" s="24">
        <f>IF(NOT(AND(AND($B13&lt;&gt;"",N($E13)&gt;0,N($F13)&gt;0),ISNUMBER($H13))),"",$E13*IF($G13="2 weeks",MAX(0,MIN($F13-1,INT((EOMONTH(Settings!$C$7,0)-$H13)/14))-MAX(0,-INT(-(EDATE(Settings!$C$7,0)-$H13)/14))+1),IF(AND(((YEAR(EDATE(Settings!$C$7,0))*12+MONTH(EDATE(Settings!$C$7,0)))-(YEAR($H13)*12+MONTH($H13)))&gt;=0,((YEAR(EDATE(Settings!$C$7,0))*12+MONTH(EDATE(Settings!$C$7,0)))-(YEAR($H13)*12+MONTH($H13)))&lt;$F13),1,0)))</f>
        <v/>
      </c>
      <c r="S13" s="24">
        <f>IF(NOT(AND(AND($B13&lt;&gt;"",N($E13)&gt;0,N($F13)&gt;0),ISNUMBER($H13))),"",$E13*IF($G13="2 weeks",MAX(0,MIN($F13-1,INT((EOMONTH(Settings!$C$7,1)-$H13)/14))-MAX(0,-INT(-(EDATE(Settings!$C$7,1)-$H13)/14))+1),IF(AND(((YEAR(EDATE(Settings!$C$7,1))*12+MONTH(EDATE(Settings!$C$7,1)))-(YEAR($H13)*12+MONTH($H13)))&gt;=0,((YEAR(EDATE(Settings!$C$7,1))*12+MONTH(EDATE(Settings!$C$7,1)))-(YEAR($H13)*12+MONTH($H13)))&lt;$F13),1,0)))</f>
        <v/>
      </c>
      <c r="T13" s="24">
        <f>IF(NOT(AND(AND($B13&lt;&gt;"",N($E13)&gt;0,N($F13)&gt;0),ISNUMBER($H13))),"",$E13*IF($G13="2 weeks",MAX(0,MIN($F13-1,INT((EOMONTH(Settings!$C$7,2)-$H13)/14))-MAX(0,-INT(-(EDATE(Settings!$C$7,2)-$H13)/14))+1),IF(AND(((YEAR(EDATE(Settings!$C$7,2))*12+MONTH(EDATE(Settings!$C$7,2)))-(YEAR($H13)*12+MONTH($H13)))&gt;=0,((YEAR(EDATE(Settings!$C$7,2))*12+MONTH(EDATE(Settings!$C$7,2)))-(YEAR($H13)*12+MONTH($H13)))&lt;$F13),1,0)))</f>
        <v/>
      </c>
      <c r="U13" s="24">
        <f>IF(NOT(AND(AND($B13&lt;&gt;"",N($E13)&gt;0,N($F13)&gt;0),ISNUMBER($H13))),"",$E13*IF($G13="2 weeks",MAX(0,MIN($F13-1,INT((EOMONTH(Settings!$C$7,3)-$H13)/14))-MAX(0,-INT(-(EDATE(Settings!$C$7,3)-$H13)/14))+1),IF(AND(((YEAR(EDATE(Settings!$C$7,3))*12+MONTH(EDATE(Settings!$C$7,3)))-(YEAR($H13)*12+MONTH($H13)))&gt;=0,((YEAR(EDATE(Settings!$C$7,3))*12+MONTH(EDATE(Settings!$C$7,3)))-(YEAR($H13)*12+MONTH($H13)))&lt;$F13),1,0)))</f>
        <v/>
      </c>
      <c r="V13" s="24">
        <f>IF(NOT(AND(AND($B13&lt;&gt;"",N($E13)&gt;0,N($F13)&gt;0),ISNUMBER($H13))),"",$E13*IF($G13="2 weeks",MAX(0,MIN($F13-1,INT((EOMONTH(Settings!$C$7,4)-$H13)/14))-MAX(0,-INT(-(EDATE(Settings!$C$7,4)-$H13)/14))+1),IF(AND(((YEAR(EDATE(Settings!$C$7,4))*12+MONTH(EDATE(Settings!$C$7,4)))-(YEAR($H13)*12+MONTH($H13)))&gt;=0,((YEAR(EDATE(Settings!$C$7,4))*12+MONTH(EDATE(Settings!$C$7,4)))-(YEAR($H13)*12+MONTH($H13)))&lt;$F13),1,0)))</f>
        <v/>
      </c>
      <c r="W13" s="1">
        <f>IF(ISNUMBER($M13),$M13+ROW()/10000000,"")</f>
        <v/>
      </c>
      <c r="X13" s="1" t="n"/>
    </row>
    <row r="14" ht="22" customHeight="1">
      <c r="A14" s="1" t="n"/>
      <c r="B14" s="56" t="n"/>
      <c r="C14" s="59" t="n"/>
      <c r="D14" s="60" t="n"/>
      <c r="E14" s="60" t="n"/>
      <c r="F14" s="63" t="n"/>
      <c r="G14" s="59" t="n"/>
      <c r="H14" s="64" t="n"/>
      <c r="I14" s="59" t="n"/>
      <c r="J14" s="65" t="n"/>
      <c r="K14" s="21">
        <f>IF(AND($B14&lt;&gt;"",N($E14)&gt;0,N($F14)&gt;0),$E14*$F14,"")</f>
        <v/>
      </c>
      <c r="L14" s="21">
        <f>IF(AND(ISNUMBER($K14),ISNUMBER($D14)),MAX(0,$K14-$D14),"")</f>
        <v/>
      </c>
      <c r="M14" s="32">
        <f>IF(NOT(AND($B14&lt;&gt;"",N($E14)&gt;0,N($F14)&gt;0)),"",IF(ISNUMBER($J14),$J14,IF(NOT(ISNUMBER($D14)),"",IF($K14&lt;=$D14+0.005,0,IFERROR(RATE($F14,-$E14,$D14,0,IF($I14="Yes",1,0))*IF($G14="2 weeks",26,12),"")))))</f>
        <v/>
      </c>
      <c r="N14" s="66">
        <f>IF(NOT(AND(AND($B14&lt;&gt;"",N($E14)&gt;0,N($F14)&gt;0),ISNUMBER($H14))),"",IF($G14="2 weeks",$H14+14*($F14-1),EDATE($H14,$F14-1)))</f>
        <v/>
      </c>
      <c r="O14" s="67">
        <f>IF(NOT(AND(AND($B14&lt;&gt;"",N($E14)&gt;0,N($F14)&gt;0),ISNUMBER($H14))),"",$F14-IF(Settings!$C$11&lt;=$H14,0,MIN($F14,IF($G14="2 weeks",INT((Settings!$C$11-$H14-1)/14)+1,DATEDIF($H14,Settings!$C$11,"M")+IF(EDATE($H14,DATEDIF($H14,Settings!$C$11,"M"))&lt;Settings!$C$11,1,0)))))</f>
        <v/>
      </c>
      <c r="P14" s="21">
        <f>IF(ISNUMBER($O14),$O14*$E14,"")</f>
        <v/>
      </c>
      <c r="Q14" s="33">
        <f>IF(NOT(ISNUMBER($M14)),"",IF($M14&gt;=Settings!$C$8,"HIGH",IF($M14&gt;=Settings!$C$9,"CHECK","OK")))</f>
        <v/>
      </c>
      <c r="R14" s="21">
        <f>IF(NOT(AND(AND($B14&lt;&gt;"",N($E14)&gt;0,N($F14)&gt;0),ISNUMBER($H14))),"",$E14*IF($G14="2 weeks",MAX(0,MIN($F14-1,INT((EOMONTH(Settings!$C$7,0)-$H14)/14))-MAX(0,-INT(-(EDATE(Settings!$C$7,0)-$H14)/14))+1),IF(AND(((YEAR(EDATE(Settings!$C$7,0))*12+MONTH(EDATE(Settings!$C$7,0)))-(YEAR($H14)*12+MONTH($H14)))&gt;=0,((YEAR(EDATE(Settings!$C$7,0))*12+MONTH(EDATE(Settings!$C$7,0)))-(YEAR($H14)*12+MONTH($H14)))&lt;$F14),1,0)))</f>
        <v/>
      </c>
      <c r="S14" s="21">
        <f>IF(NOT(AND(AND($B14&lt;&gt;"",N($E14)&gt;0,N($F14)&gt;0),ISNUMBER($H14))),"",$E14*IF($G14="2 weeks",MAX(0,MIN($F14-1,INT((EOMONTH(Settings!$C$7,1)-$H14)/14))-MAX(0,-INT(-(EDATE(Settings!$C$7,1)-$H14)/14))+1),IF(AND(((YEAR(EDATE(Settings!$C$7,1))*12+MONTH(EDATE(Settings!$C$7,1)))-(YEAR($H14)*12+MONTH($H14)))&gt;=0,((YEAR(EDATE(Settings!$C$7,1))*12+MONTH(EDATE(Settings!$C$7,1)))-(YEAR($H14)*12+MONTH($H14)))&lt;$F14),1,0)))</f>
        <v/>
      </c>
      <c r="T14" s="21">
        <f>IF(NOT(AND(AND($B14&lt;&gt;"",N($E14)&gt;0,N($F14)&gt;0),ISNUMBER($H14))),"",$E14*IF($G14="2 weeks",MAX(0,MIN($F14-1,INT((EOMONTH(Settings!$C$7,2)-$H14)/14))-MAX(0,-INT(-(EDATE(Settings!$C$7,2)-$H14)/14))+1),IF(AND(((YEAR(EDATE(Settings!$C$7,2))*12+MONTH(EDATE(Settings!$C$7,2)))-(YEAR($H14)*12+MONTH($H14)))&gt;=0,((YEAR(EDATE(Settings!$C$7,2))*12+MONTH(EDATE(Settings!$C$7,2)))-(YEAR($H14)*12+MONTH($H14)))&lt;$F14),1,0)))</f>
        <v/>
      </c>
      <c r="U14" s="21">
        <f>IF(NOT(AND(AND($B14&lt;&gt;"",N($E14)&gt;0,N($F14)&gt;0),ISNUMBER($H14))),"",$E14*IF($G14="2 weeks",MAX(0,MIN($F14-1,INT((EOMONTH(Settings!$C$7,3)-$H14)/14))-MAX(0,-INT(-(EDATE(Settings!$C$7,3)-$H14)/14))+1),IF(AND(((YEAR(EDATE(Settings!$C$7,3))*12+MONTH(EDATE(Settings!$C$7,3)))-(YEAR($H14)*12+MONTH($H14)))&gt;=0,((YEAR(EDATE(Settings!$C$7,3))*12+MONTH(EDATE(Settings!$C$7,3)))-(YEAR($H14)*12+MONTH($H14)))&lt;$F14),1,0)))</f>
        <v/>
      </c>
      <c r="V14" s="21">
        <f>IF(NOT(AND(AND($B14&lt;&gt;"",N($E14)&gt;0,N($F14)&gt;0),ISNUMBER($H14))),"",$E14*IF($G14="2 weeks",MAX(0,MIN($F14-1,INT((EOMONTH(Settings!$C$7,4)-$H14)/14))-MAX(0,-INT(-(EDATE(Settings!$C$7,4)-$H14)/14))+1),IF(AND(((YEAR(EDATE(Settings!$C$7,4))*12+MONTH(EDATE(Settings!$C$7,4)))-(YEAR($H14)*12+MONTH($H14)))&gt;=0,((YEAR(EDATE(Settings!$C$7,4))*12+MONTH(EDATE(Settings!$C$7,4)))-(YEAR($H14)*12+MONTH($H14)))&lt;$F14),1,0)))</f>
        <v/>
      </c>
      <c r="W14" s="1">
        <f>IF(ISNUMBER($M14),$M14+ROW()/10000000,"")</f>
        <v/>
      </c>
      <c r="X14" s="1" t="n"/>
    </row>
    <row r="15" ht="22" customHeight="1">
      <c r="A15" s="1" t="n"/>
      <c r="B15" s="57" t="n"/>
      <c r="C15" s="61" t="n"/>
      <c r="D15" s="62" t="n"/>
      <c r="E15" s="62" t="n"/>
      <c r="F15" s="68" t="n"/>
      <c r="G15" s="61" t="n"/>
      <c r="H15" s="69" t="n"/>
      <c r="I15" s="61" t="n"/>
      <c r="J15" s="70" t="n"/>
      <c r="K15" s="24">
        <f>IF(AND($B15&lt;&gt;"",N($E15)&gt;0,N($F15)&gt;0),$E15*$F15,"")</f>
        <v/>
      </c>
      <c r="L15" s="24">
        <f>IF(AND(ISNUMBER($K15),ISNUMBER($D15)),MAX(0,$K15-$D15),"")</f>
        <v/>
      </c>
      <c r="M15" s="34">
        <f>IF(NOT(AND($B15&lt;&gt;"",N($E15)&gt;0,N($F15)&gt;0)),"",IF(ISNUMBER($J15),$J15,IF(NOT(ISNUMBER($D15)),"",IF($K15&lt;=$D15+0.005,0,IFERROR(RATE($F15,-$E15,$D15,0,IF($I15="Yes",1,0))*IF($G15="2 weeks",26,12),"")))))</f>
        <v/>
      </c>
      <c r="N15" s="71">
        <f>IF(NOT(AND(AND($B15&lt;&gt;"",N($E15)&gt;0,N($F15)&gt;0),ISNUMBER($H15))),"",IF($G15="2 weeks",$H15+14*($F15-1),EDATE($H15,$F15-1)))</f>
        <v/>
      </c>
      <c r="O15" s="72">
        <f>IF(NOT(AND(AND($B15&lt;&gt;"",N($E15)&gt;0,N($F15)&gt;0),ISNUMBER($H15))),"",$F15-IF(Settings!$C$11&lt;=$H15,0,MIN($F15,IF($G15="2 weeks",INT((Settings!$C$11-$H15-1)/14)+1,DATEDIF($H15,Settings!$C$11,"M")+IF(EDATE($H15,DATEDIF($H15,Settings!$C$11,"M"))&lt;Settings!$C$11,1,0)))))</f>
        <v/>
      </c>
      <c r="P15" s="24">
        <f>IF(ISNUMBER($O15),$O15*$E15,"")</f>
        <v/>
      </c>
      <c r="Q15" s="35">
        <f>IF(NOT(ISNUMBER($M15)),"",IF($M15&gt;=Settings!$C$8,"HIGH",IF($M15&gt;=Settings!$C$9,"CHECK","OK")))</f>
        <v/>
      </c>
      <c r="R15" s="24">
        <f>IF(NOT(AND(AND($B15&lt;&gt;"",N($E15)&gt;0,N($F15)&gt;0),ISNUMBER($H15))),"",$E15*IF($G15="2 weeks",MAX(0,MIN($F15-1,INT((EOMONTH(Settings!$C$7,0)-$H15)/14))-MAX(0,-INT(-(EDATE(Settings!$C$7,0)-$H15)/14))+1),IF(AND(((YEAR(EDATE(Settings!$C$7,0))*12+MONTH(EDATE(Settings!$C$7,0)))-(YEAR($H15)*12+MONTH($H15)))&gt;=0,((YEAR(EDATE(Settings!$C$7,0))*12+MONTH(EDATE(Settings!$C$7,0)))-(YEAR($H15)*12+MONTH($H15)))&lt;$F15),1,0)))</f>
        <v/>
      </c>
      <c r="S15" s="24">
        <f>IF(NOT(AND(AND($B15&lt;&gt;"",N($E15)&gt;0,N($F15)&gt;0),ISNUMBER($H15))),"",$E15*IF($G15="2 weeks",MAX(0,MIN($F15-1,INT((EOMONTH(Settings!$C$7,1)-$H15)/14))-MAX(0,-INT(-(EDATE(Settings!$C$7,1)-$H15)/14))+1),IF(AND(((YEAR(EDATE(Settings!$C$7,1))*12+MONTH(EDATE(Settings!$C$7,1)))-(YEAR($H15)*12+MONTH($H15)))&gt;=0,((YEAR(EDATE(Settings!$C$7,1))*12+MONTH(EDATE(Settings!$C$7,1)))-(YEAR($H15)*12+MONTH($H15)))&lt;$F15),1,0)))</f>
        <v/>
      </c>
      <c r="T15" s="24">
        <f>IF(NOT(AND(AND($B15&lt;&gt;"",N($E15)&gt;0,N($F15)&gt;0),ISNUMBER($H15))),"",$E15*IF($G15="2 weeks",MAX(0,MIN($F15-1,INT((EOMONTH(Settings!$C$7,2)-$H15)/14))-MAX(0,-INT(-(EDATE(Settings!$C$7,2)-$H15)/14))+1),IF(AND(((YEAR(EDATE(Settings!$C$7,2))*12+MONTH(EDATE(Settings!$C$7,2)))-(YEAR($H15)*12+MONTH($H15)))&gt;=0,((YEAR(EDATE(Settings!$C$7,2))*12+MONTH(EDATE(Settings!$C$7,2)))-(YEAR($H15)*12+MONTH($H15)))&lt;$F15),1,0)))</f>
        <v/>
      </c>
      <c r="U15" s="24">
        <f>IF(NOT(AND(AND($B15&lt;&gt;"",N($E15)&gt;0,N($F15)&gt;0),ISNUMBER($H15))),"",$E15*IF($G15="2 weeks",MAX(0,MIN($F15-1,INT((EOMONTH(Settings!$C$7,3)-$H15)/14))-MAX(0,-INT(-(EDATE(Settings!$C$7,3)-$H15)/14))+1),IF(AND(((YEAR(EDATE(Settings!$C$7,3))*12+MONTH(EDATE(Settings!$C$7,3)))-(YEAR($H15)*12+MONTH($H15)))&gt;=0,((YEAR(EDATE(Settings!$C$7,3))*12+MONTH(EDATE(Settings!$C$7,3)))-(YEAR($H15)*12+MONTH($H15)))&lt;$F15),1,0)))</f>
        <v/>
      </c>
      <c r="V15" s="24">
        <f>IF(NOT(AND(AND($B15&lt;&gt;"",N($E15)&gt;0,N($F15)&gt;0),ISNUMBER($H15))),"",$E15*IF($G15="2 weeks",MAX(0,MIN($F15-1,INT((EOMONTH(Settings!$C$7,4)-$H15)/14))-MAX(0,-INT(-(EDATE(Settings!$C$7,4)-$H15)/14))+1),IF(AND(((YEAR(EDATE(Settings!$C$7,4))*12+MONTH(EDATE(Settings!$C$7,4)))-(YEAR($H15)*12+MONTH($H15)))&gt;=0,((YEAR(EDATE(Settings!$C$7,4))*12+MONTH(EDATE(Settings!$C$7,4)))-(YEAR($H15)*12+MONTH($H15)))&lt;$F15),1,0)))</f>
        <v/>
      </c>
      <c r="W15" s="1">
        <f>IF(ISNUMBER($M15),$M15+ROW()/10000000,"")</f>
        <v/>
      </c>
      <c r="X15" s="1" t="n"/>
    </row>
    <row r="16" ht="22" customHeight="1">
      <c r="A16" s="1" t="n"/>
      <c r="B16" s="56" t="n"/>
      <c r="C16" s="59" t="n"/>
      <c r="D16" s="60" t="n"/>
      <c r="E16" s="60" t="n"/>
      <c r="F16" s="63" t="n"/>
      <c r="G16" s="59" t="n"/>
      <c r="H16" s="64" t="n"/>
      <c r="I16" s="59" t="n"/>
      <c r="J16" s="65" t="n"/>
      <c r="K16" s="21">
        <f>IF(AND($B16&lt;&gt;"",N($E16)&gt;0,N($F16)&gt;0),$E16*$F16,"")</f>
        <v/>
      </c>
      <c r="L16" s="21">
        <f>IF(AND(ISNUMBER($K16),ISNUMBER($D16)),MAX(0,$K16-$D16),"")</f>
        <v/>
      </c>
      <c r="M16" s="32">
        <f>IF(NOT(AND($B16&lt;&gt;"",N($E16)&gt;0,N($F16)&gt;0)),"",IF(ISNUMBER($J16),$J16,IF(NOT(ISNUMBER($D16)),"",IF($K16&lt;=$D16+0.005,0,IFERROR(RATE($F16,-$E16,$D16,0,IF($I16="Yes",1,0))*IF($G16="2 weeks",26,12),"")))))</f>
        <v/>
      </c>
      <c r="N16" s="66">
        <f>IF(NOT(AND(AND($B16&lt;&gt;"",N($E16)&gt;0,N($F16)&gt;0),ISNUMBER($H16))),"",IF($G16="2 weeks",$H16+14*($F16-1),EDATE($H16,$F16-1)))</f>
        <v/>
      </c>
      <c r="O16" s="67">
        <f>IF(NOT(AND(AND($B16&lt;&gt;"",N($E16)&gt;0,N($F16)&gt;0),ISNUMBER($H16))),"",$F16-IF(Settings!$C$11&lt;=$H16,0,MIN($F16,IF($G16="2 weeks",INT((Settings!$C$11-$H16-1)/14)+1,DATEDIF($H16,Settings!$C$11,"M")+IF(EDATE($H16,DATEDIF($H16,Settings!$C$11,"M"))&lt;Settings!$C$11,1,0)))))</f>
        <v/>
      </c>
      <c r="P16" s="21">
        <f>IF(ISNUMBER($O16),$O16*$E16,"")</f>
        <v/>
      </c>
      <c r="Q16" s="33">
        <f>IF(NOT(ISNUMBER($M16)),"",IF($M16&gt;=Settings!$C$8,"HIGH",IF($M16&gt;=Settings!$C$9,"CHECK","OK")))</f>
        <v/>
      </c>
      <c r="R16" s="21">
        <f>IF(NOT(AND(AND($B16&lt;&gt;"",N($E16)&gt;0,N($F16)&gt;0),ISNUMBER($H16))),"",$E16*IF($G16="2 weeks",MAX(0,MIN($F16-1,INT((EOMONTH(Settings!$C$7,0)-$H16)/14))-MAX(0,-INT(-(EDATE(Settings!$C$7,0)-$H16)/14))+1),IF(AND(((YEAR(EDATE(Settings!$C$7,0))*12+MONTH(EDATE(Settings!$C$7,0)))-(YEAR($H16)*12+MONTH($H16)))&gt;=0,((YEAR(EDATE(Settings!$C$7,0))*12+MONTH(EDATE(Settings!$C$7,0)))-(YEAR($H16)*12+MONTH($H16)))&lt;$F16),1,0)))</f>
        <v/>
      </c>
      <c r="S16" s="21">
        <f>IF(NOT(AND(AND($B16&lt;&gt;"",N($E16)&gt;0,N($F16)&gt;0),ISNUMBER($H16))),"",$E16*IF($G16="2 weeks",MAX(0,MIN($F16-1,INT((EOMONTH(Settings!$C$7,1)-$H16)/14))-MAX(0,-INT(-(EDATE(Settings!$C$7,1)-$H16)/14))+1),IF(AND(((YEAR(EDATE(Settings!$C$7,1))*12+MONTH(EDATE(Settings!$C$7,1)))-(YEAR($H16)*12+MONTH($H16)))&gt;=0,((YEAR(EDATE(Settings!$C$7,1))*12+MONTH(EDATE(Settings!$C$7,1)))-(YEAR($H16)*12+MONTH($H16)))&lt;$F16),1,0)))</f>
        <v/>
      </c>
      <c r="T16" s="21">
        <f>IF(NOT(AND(AND($B16&lt;&gt;"",N($E16)&gt;0,N($F16)&gt;0),ISNUMBER($H16))),"",$E16*IF($G16="2 weeks",MAX(0,MIN($F16-1,INT((EOMONTH(Settings!$C$7,2)-$H16)/14))-MAX(0,-INT(-(EDATE(Settings!$C$7,2)-$H16)/14))+1),IF(AND(((YEAR(EDATE(Settings!$C$7,2))*12+MONTH(EDATE(Settings!$C$7,2)))-(YEAR($H16)*12+MONTH($H16)))&gt;=0,((YEAR(EDATE(Settings!$C$7,2))*12+MONTH(EDATE(Settings!$C$7,2)))-(YEAR($H16)*12+MONTH($H16)))&lt;$F16),1,0)))</f>
        <v/>
      </c>
      <c r="U16" s="21">
        <f>IF(NOT(AND(AND($B16&lt;&gt;"",N($E16)&gt;0,N($F16)&gt;0),ISNUMBER($H16))),"",$E16*IF($G16="2 weeks",MAX(0,MIN($F16-1,INT((EOMONTH(Settings!$C$7,3)-$H16)/14))-MAX(0,-INT(-(EDATE(Settings!$C$7,3)-$H16)/14))+1),IF(AND(((YEAR(EDATE(Settings!$C$7,3))*12+MONTH(EDATE(Settings!$C$7,3)))-(YEAR($H16)*12+MONTH($H16)))&gt;=0,((YEAR(EDATE(Settings!$C$7,3))*12+MONTH(EDATE(Settings!$C$7,3)))-(YEAR($H16)*12+MONTH($H16)))&lt;$F16),1,0)))</f>
        <v/>
      </c>
      <c r="V16" s="21">
        <f>IF(NOT(AND(AND($B16&lt;&gt;"",N($E16)&gt;0,N($F16)&gt;0),ISNUMBER($H16))),"",$E16*IF($G16="2 weeks",MAX(0,MIN($F16-1,INT((EOMONTH(Settings!$C$7,4)-$H16)/14))-MAX(0,-INT(-(EDATE(Settings!$C$7,4)-$H16)/14))+1),IF(AND(((YEAR(EDATE(Settings!$C$7,4))*12+MONTH(EDATE(Settings!$C$7,4)))-(YEAR($H16)*12+MONTH($H16)))&gt;=0,((YEAR(EDATE(Settings!$C$7,4))*12+MONTH(EDATE(Settings!$C$7,4)))-(YEAR($H16)*12+MONTH($H16)))&lt;$F16),1,0)))</f>
        <v/>
      </c>
      <c r="W16" s="1">
        <f>IF(ISNUMBER($M16),$M16+ROW()/10000000,"")</f>
        <v/>
      </c>
      <c r="X16" s="1" t="n"/>
    </row>
    <row r="17" ht="22" customHeight="1">
      <c r="A17" s="1" t="n"/>
      <c r="B17" s="57" t="n"/>
      <c r="C17" s="61" t="n"/>
      <c r="D17" s="62" t="n"/>
      <c r="E17" s="62" t="n"/>
      <c r="F17" s="68" t="n"/>
      <c r="G17" s="61" t="n"/>
      <c r="H17" s="69" t="n"/>
      <c r="I17" s="61" t="n"/>
      <c r="J17" s="70" t="n"/>
      <c r="K17" s="24">
        <f>IF(AND($B17&lt;&gt;"",N($E17)&gt;0,N($F17)&gt;0),$E17*$F17,"")</f>
        <v/>
      </c>
      <c r="L17" s="24">
        <f>IF(AND(ISNUMBER($K17),ISNUMBER($D17)),MAX(0,$K17-$D17),"")</f>
        <v/>
      </c>
      <c r="M17" s="34">
        <f>IF(NOT(AND($B17&lt;&gt;"",N($E17)&gt;0,N($F17)&gt;0)),"",IF(ISNUMBER($J17),$J17,IF(NOT(ISNUMBER($D17)),"",IF($K17&lt;=$D17+0.005,0,IFERROR(RATE($F17,-$E17,$D17,0,IF($I17="Yes",1,0))*IF($G17="2 weeks",26,12),"")))))</f>
        <v/>
      </c>
      <c r="N17" s="71">
        <f>IF(NOT(AND(AND($B17&lt;&gt;"",N($E17)&gt;0,N($F17)&gt;0),ISNUMBER($H17))),"",IF($G17="2 weeks",$H17+14*($F17-1),EDATE($H17,$F17-1)))</f>
        <v/>
      </c>
      <c r="O17" s="72">
        <f>IF(NOT(AND(AND($B17&lt;&gt;"",N($E17)&gt;0,N($F17)&gt;0),ISNUMBER($H17))),"",$F17-IF(Settings!$C$11&lt;=$H17,0,MIN($F17,IF($G17="2 weeks",INT((Settings!$C$11-$H17-1)/14)+1,DATEDIF($H17,Settings!$C$11,"M")+IF(EDATE($H17,DATEDIF($H17,Settings!$C$11,"M"))&lt;Settings!$C$11,1,0)))))</f>
        <v/>
      </c>
      <c r="P17" s="24">
        <f>IF(ISNUMBER($O17),$O17*$E17,"")</f>
        <v/>
      </c>
      <c r="Q17" s="35">
        <f>IF(NOT(ISNUMBER($M17)),"",IF($M17&gt;=Settings!$C$8,"HIGH",IF($M17&gt;=Settings!$C$9,"CHECK","OK")))</f>
        <v/>
      </c>
      <c r="R17" s="24">
        <f>IF(NOT(AND(AND($B17&lt;&gt;"",N($E17)&gt;0,N($F17)&gt;0),ISNUMBER($H17))),"",$E17*IF($G17="2 weeks",MAX(0,MIN($F17-1,INT((EOMONTH(Settings!$C$7,0)-$H17)/14))-MAX(0,-INT(-(EDATE(Settings!$C$7,0)-$H17)/14))+1),IF(AND(((YEAR(EDATE(Settings!$C$7,0))*12+MONTH(EDATE(Settings!$C$7,0)))-(YEAR($H17)*12+MONTH($H17)))&gt;=0,((YEAR(EDATE(Settings!$C$7,0))*12+MONTH(EDATE(Settings!$C$7,0)))-(YEAR($H17)*12+MONTH($H17)))&lt;$F17),1,0)))</f>
        <v/>
      </c>
      <c r="S17" s="24">
        <f>IF(NOT(AND(AND($B17&lt;&gt;"",N($E17)&gt;0,N($F17)&gt;0),ISNUMBER($H17))),"",$E17*IF($G17="2 weeks",MAX(0,MIN($F17-1,INT((EOMONTH(Settings!$C$7,1)-$H17)/14))-MAX(0,-INT(-(EDATE(Settings!$C$7,1)-$H17)/14))+1),IF(AND(((YEAR(EDATE(Settings!$C$7,1))*12+MONTH(EDATE(Settings!$C$7,1)))-(YEAR($H17)*12+MONTH($H17)))&gt;=0,((YEAR(EDATE(Settings!$C$7,1))*12+MONTH(EDATE(Settings!$C$7,1)))-(YEAR($H17)*12+MONTH($H17)))&lt;$F17),1,0)))</f>
        <v/>
      </c>
      <c r="T17" s="24">
        <f>IF(NOT(AND(AND($B17&lt;&gt;"",N($E17)&gt;0,N($F17)&gt;0),ISNUMBER($H17))),"",$E17*IF($G17="2 weeks",MAX(0,MIN($F17-1,INT((EOMONTH(Settings!$C$7,2)-$H17)/14))-MAX(0,-INT(-(EDATE(Settings!$C$7,2)-$H17)/14))+1),IF(AND(((YEAR(EDATE(Settings!$C$7,2))*12+MONTH(EDATE(Settings!$C$7,2)))-(YEAR($H17)*12+MONTH($H17)))&gt;=0,((YEAR(EDATE(Settings!$C$7,2))*12+MONTH(EDATE(Settings!$C$7,2)))-(YEAR($H17)*12+MONTH($H17)))&lt;$F17),1,0)))</f>
        <v/>
      </c>
      <c r="U17" s="24">
        <f>IF(NOT(AND(AND($B17&lt;&gt;"",N($E17)&gt;0,N($F17)&gt;0),ISNUMBER($H17))),"",$E17*IF($G17="2 weeks",MAX(0,MIN($F17-1,INT((EOMONTH(Settings!$C$7,3)-$H17)/14))-MAX(0,-INT(-(EDATE(Settings!$C$7,3)-$H17)/14))+1),IF(AND(((YEAR(EDATE(Settings!$C$7,3))*12+MONTH(EDATE(Settings!$C$7,3)))-(YEAR($H17)*12+MONTH($H17)))&gt;=0,((YEAR(EDATE(Settings!$C$7,3))*12+MONTH(EDATE(Settings!$C$7,3)))-(YEAR($H17)*12+MONTH($H17)))&lt;$F17),1,0)))</f>
        <v/>
      </c>
      <c r="V17" s="24">
        <f>IF(NOT(AND(AND($B17&lt;&gt;"",N($E17)&gt;0,N($F17)&gt;0),ISNUMBER($H17))),"",$E17*IF($G17="2 weeks",MAX(0,MIN($F17-1,INT((EOMONTH(Settings!$C$7,4)-$H17)/14))-MAX(0,-INT(-(EDATE(Settings!$C$7,4)-$H17)/14))+1),IF(AND(((YEAR(EDATE(Settings!$C$7,4))*12+MONTH(EDATE(Settings!$C$7,4)))-(YEAR($H17)*12+MONTH($H17)))&gt;=0,((YEAR(EDATE(Settings!$C$7,4))*12+MONTH(EDATE(Settings!$C$7,4)))-(YEAR($H17)*12+MONTH($H17)))&lt;$F17),1,0)))</f>
        <v/>
      </c>
      <c r="W17" s="1">
        <f>IF(ISNUMBER($M17),$M17+ROW()/10000000,"")</f>
        <v/>
      </c>
      <c r="X17" s="1" t="n"/>
    </row>
    <row r="18" ht="22" customHeight="1">
      <c r="A18" s="1" t="n"/>
      <c r="B18" s="56" t="n"/>
      <c r="C18" s="59" t="n"/>
      <c r="D18" s="60" t="n"/>
      <c r="E18" s="60" t="n"/>
      <c r="F18" s="63" t="n"/>
      <c r="G18" s="59" t="n"/>
      <c r="H18" s="64" t="n"/>
      <c r="I18" s="59" t="n"/>
      <c r="J18" s="65" t="n"/>
      <c r="K18" s="21">
        <f>IF(AND($B18&lt;&gt;"",N($E18)&gt;0,N($F18)&gt;0),$E18*$F18,"")</f>
        <v/>
      </c>
      <c r="L18" s="21">
        <f>IF(AND(ISNUMBER($K18),ISNUMBER($D18)),MAX(0,$K18-$D18),"")</f>
        <v/>
      </c>
      <c r="M18" s="32">
        <f>IF(NOT(AND($B18&lt;&gt;"",N($E18)&gt;0,N($F18)&gt;0)),"",IF(ISNUMBER($J18),$J18,IF(NOT(ISNUMBER($D18)),"",IF($K18&lt;=$D18+0.005,0,IFERROR(RATE($F18,-$E18,$D18,0,IF($I18="Yes",1,0))*IF($G18="2 weeks",26,12),"")))))</f>
        <v/>
      </c>
      <c r="N18" s="66">
        <f>IF(NOT(AND(AND($B18&lt;&gt;"",N($E18)&gt;0,N($F18)&gt;0),ISNUMBER($H18))),"",IF($G18="2 weeks",$H18+14*($F18-1),EDATE($H18,$F18-1)))</f>
        <v/>
      </c>
      <c r="O18" s="67">
        <f>IF(NOT(AND(AND($B18&lt;&gt;"",N($E18)&gt;0,N($F18)&gt;0),ISNUMBER($H18))),"",$F18-IF(Settings!$C$11&lt;=$H18,0,MIN($F18,IF($G18="2 weeks",INT((Settings!$C$11-$H18-1)/14)+1,DATEDIF($H18,Settings!$C$11,"M")+IF(EDATE($H18,DATEDIF($H18,Settings!$C$11,"M"))&lt;Settings!$C$11,1,0)))))</f>
        <v/>
      </c>
      <c r="P18" s="21">
        <f>IF(ISNUMBER($O18),$O18*$E18,"")</f>
        <v/>
      </c>
      <c r="Q18" s="33">
        <f>IF(NOT(ISNUMBER($M18)),"",IF($M18&gt;=Settings!$C$8,"HIGH",IF($M18&gt;=Settings!$C$9,"CHECK","OK")))</f>
        <v/>
      </c>
      <c r="R18" s="21">
        <f>IF(NOT(AND(AND($B18&lt;&gt;"",N($E18)&gt;0,N($F18)&gt;0),ISNUMBER($H18))),"",$E18*IF($G18="2 weeks",MAX(0,MIN($F18-1,INT((EOMONTH(Settings!$C$7,0)-$H18)/14))-MAX(0,-INT(-(EDATE(Settings!$C$7,0)-$H18)/14))+1),IF(AND(((YEAR(EDATE(Settings!$C$7,0))*12+MONTH(EDATE(Settings!$C$7,0)))-(YEAR($H18)*12+MONTH($H18)))&gt;=0,((YEAR(EDATE(Settings!$C$7,0))*12+MONTH(EDATE(Settings!$C$7,0)))-(YEAR($H18)*12+MONTH($H18)))&lt;$F18),1,0)))</f>
        <v/>
      </c>
      <c r="S18" s="21">
        <f>IF(NOT(AND(AND($B18&lt;&gt;"",N($E18)&gt;0,N($F18)&gt;0),ISNUMBER($H18))),"",$E18*IF($G18="2 weeks",MAX(0,MIN($F18-1,INT((EOMONTH(Settings!$C$7,1)-$H18)/14))-MAX(0,-INT(-(EDATE(Settings!$C$7,1)-$H18)/14))+1),IF(AND(((YEAR(EDATE(Settings!$C$7,1))*12+MONTH(EDATE(Settings!$C$7,1)))-(YEAR($H18)*12+MONTH($H18)))&gt;=0,((YEAR(EDATE(Settings!$C$7,1))*12+MONTH(EDATE(Settings!$C$7,1)))-(YEAR($H18)*12+MONTH($H18)))&lt;$F18),1,0)))</f>
        <v/>
      </c>
      <c r="T18" s="21">
        <f>IF(NOT(AND(AND($B18&lt;&gt;"",N($E18)&gt;0,N($F18)&gt;0),ISNUMBER($H18))),"",$E18*IF($G18="2 weeks",MAX(0,MIN($F18-1,INT((EOMONTH(Settings!$C$7,2)-$H18)/14))-MAX(0,-INT(-(EDATE(Settings!$C$7,2)-$H18)/14))+1),IF(AND(((YEAR(EDATE(Settings!$C$7,2))*12+MONTH(EDATE(Settings!$C$7,2)))-(YEAR($H18)*12+MONTH($H18)))&gt;=0,((YEAR(EDATE(Settings!$C$7,2))*12+MONTH(EDATE(Settings!$C$7,2)))-(YEAR($H18)*12+MONTH($H18)))&lt;$F18),1,0)))</f>
        <v/>
      </c>
      <c r="U18" s="21">
        <f>IF(NOT(AND(AND($B18&lt;&gt;"",N($E18)&gt;0,N($F18)&gt;0),ISNUMBER($H18))),"",$E18*IF($G18="2 weeks",MAX(0,MIN($F18-1,INT((EOMONTH(Settings!$C$7,3)-$H18)/14))-MAX(0,-INT(-(EDATE(Settings!$C$7,3)-$H18)/14))+1),IF(AND(((YEAR(EDATE(Settings!$C$7,3))*12+MONTH(EDATE(Settings!$C$7,3)))-(YEAR($H18)*12+MONTH($H18)))&gt;=0,((YEAR(EDATE(Settings!$C$7,3))*12+MONTH(EDATE(Settings!$C$7,3)))-(YEAR($H18)*12+MONTH($H18)))&lt;$F18),1,0)))</f>
        <v/>
      </c>
      <c r="V18" s="21">
        <f>IF(NOT(AND(AND($B18&lt;&gt;"",N($E18)&gt;0,N($F18)&gt;0),ISNUMBER($H18))),"",$E18*IF($G18="2 weeks",MAX(0,MIN($F18-1,INT((EOMONTH(Settings!$C$7,4)-$H18)/14))-MAX(0,-INT(-(EDATE(Settings!$C$7,4)-$H18)/14))+1),IF(AND(((YEAR(EDATE(Settings!$C$7,4))*12+MONTH(EDATE(Settings!$C$7,4)))-(YEAR($H18)*12+MONTH($H18)))&gt;=0,((YEAR(EDATE(Settings!$C$7,4))*12+MONTH(EDATE(Settings!$C$7,4)))-(YEAR($H18)*12+MONTH($H18)))&lt;$F18),1,0)))</f>
        <v/>
      </c>
      <c r="W18" s="1">
        <f>IF(ISNUMBER($M18),$M18+ROW()/10000000,"")</f>
        <v/>
      </c>
      <c r="X18" s="1" t="n"/>
    </row>
    <row r="19" ht="22" customHeight="1">
      <c r="A19" s="1" t="n"/>
      <c r="B19" s="57" t="n"/>
      <c r="C19" s="61" t="n"/>
      <c r="D19" s="62" t="n"/>
      <c r="E19" s="62" t="n"/>
      <c r="F19" s="68" t="n"/>
      <c r="G19" s="61" t="n"/>
      <c r="H19" s="69" t="n"/>
      <c r="I19" s="61" t="n"/>
      <c r="J19" s="70" t="n"/>
      <c r="K19" s="24">
        <f>IF(AND($B19&lt;&gt;"",N($E19)&gt;0,N($F19)&gt;0),$E19*$F19,"")</f>
        <v/>
      </c>
      <c r="L19" s="24">
        <f>IF(AND(ISNUMBER($K19),ISNUMBER($D19)),MAX(0,$K19-$D19),"")</f>
        <v/>
      </c>
      <c r="M19" s="34">
        <f>IF(NOT(AND($B19&lt;&gt;"",N($E19)&gt;0,N($F19)&gt;0)),"",IF(ISNUMBER($J19),$J19,IF(NOT(ISNUMBER($D19)),"",IF($K19&lt;=$D19+0.005,0,IFERROR(RATE($F19,-$E19,$D19,0,IF($I19="Yes",1,0))*IF($G19="2 weeks",26,12),"")))))</f>
        <v/>
      </c>
      <c r="N19" s="71">
        <f>IF(NOT(AND(AND($B19&lt;&gt;"",N($E19)&gt;0,N($F19)&gt;0),ISNUMBER($H19))),"",IF($G19="2 weeks",$H19+14*($F19-1),EDATE($H19,$F19-1)))</f>
        <v/>
      </c>
      <c r="O19" s="72">
        <f>IF(NOT(AND(AND($B19&lt;&gt;"",N($E19)&gt;0,N($F19)&gt;0),ISNUMBER($H19))),"",$F19-IF(Settings!$C$11&lt;=$H19,0,MIN($F19,IF($G19="2 weeks",INT((Settings!$C$11-$H19-1)/14)+1,DATEDIF($H19,Settings!$C$11,"M")+IF(EDATE($H19,DATEDIF($H19,Settings!$C$11,"M"))&lt;Settings!$C$11,1,0)))))</f>
        <v/>
      </c>
      <c r="P19" s="24">
        <f>IF(ISNUMBER($O19),$O19*$E19,"")</f>
        <v/>
      </c>
      <c r="Q19" s="35">
        <f>IF(NOT(ISNUMBER($M19)),"",IF($M19&gt;=Settings!$C$8,"HIGH",IF($M19&gt;=Settings!$C$9,"CHECK","OK")))</f>
        <v/>
      </c>
      <c r="R19" s="24">
        <f>IF(NOT(AND(AND($B19&lt;&gt;"",N($E19)&gt;0,N($F19)&gt;0),ISNUMBER($H19))),"",$E19*IF($G19="2 weeks",MAX(0,MIN($F19-1,INT((EOMONTH(Settings!$C$7,0)-$H19)/14))-MAX(0,-INT(-(EDATE(Settings!$C$7,0)-$H19)/14))+1),IF(AND(((YEAR(EDATE(Settings!$C$7,0))*12+MONTH(EDATE(Settings!$C$7,0)))-(YEAR($H19)*12+MONTH($H19)))&gt;=0,((YEAR(EDATE(Settings!$C$7,0))*12+MONTH(EDATE(Settings!$C$7,0)))-(YEAR($H19)*12+MONTH($H19)))&lt;$F19),1,0)))</f>
        <v/>
      </c>
      <c r="S19" s="24">
        <f>IF(NOT(AND(AND($B19&lt;&gt;"",N($E19)&gt;0,N($F19)&gt;0),ISNUMBER($H19))),"",$E19*IF($G19="2 weeks",MAX(0,MIN($F19-1,INT((EOMONTH(Settings!$C$7,1)-$H19)/14))-MAX(0,-INT(-(EDATE(Settings!$C$7,1)-$H19)/14))+1),IF(AND(((YEAR(EDATE(Settings!$C$7,1))*12+MONTH(EDATE(Settings!$C$7,1)))-(YEAR($H19)*12+MONTH($H19)))&gt;=0,((YEAR(EDATE(Settings!$C$7,1))*12+MONTH(EDATE(Settings!$C$7,1)))-(YEAR($H19)*12+MONTH($H19)))&lt;$F19),1,0)))</f>
        <v/>
      </c>
      <c r="T19" s="24">
        <f>IF(NOT(AND(AND($B19&lt;&gt;"",N($E19)&gt;0,N($F19)&gt;0),ISNUMBER($H19))),"",$E19*IF($G19="2 weeks",MAX(0,MIN($F19-1,INT((EOMONTH(Settings!$C$7,2)-$H19)/14))-MAX(0,-INT(-(EDATE(Settings!$C$7,2)-$H19)/14))+1),IF(AND(((YEAR(EDATE(Settings!$C$7,2))*12+MONTH(EDATE(Settings!$C$7,2)))-(YEAR($H19)*12+MONTH($H19)))&gt;=0,((YEAR(EDATE(Settings!$C$7,2))*12+MONTH(EDATE(Settings!$C$7,2)))-(YEAR($H19)*12+MONTH($H19)))&lt;$F19),1,0)))</f>
        <v/>
      </c>
      <c r="U19" s="24">
        <f>IF(NOT(AND(AND($B19&lt;&gt;"",N($E19)&gt;0,N($F19)&gt;0),ISNUMBER($H19))),"",$E19*IF($G19="2 weeks",MAX(0,MIN($F19-1,INT((EOMONTH(Settings!$C$7,3)-$H19)/14))-MAX(0,-INT(-(EDATE(Settings!$C$7,3)-$H19)/14))+1),IF(AND(((YEAR(EDATE(Settings!$C$7,3))*12+MONTH(EDATE(Settings!$C$7,3)))-(YEAR($H19)*12+MONTH($H19)))&gt;=0,((YEAR(EDATE(Settings!$C$7,3))*12+MONTH(EDATE(Settings!$C$7,3)))-(YEAR($H19)*12+MONTH($H19)))&lt;$F19),1,0)))</f>
        <v/>
      </c>
      <c r="V19" s="24">
        <f>IF(NOT(AND(AND($B19&lt;&gt;"",N($E19)&gt;0,N($F19)&gt;0),ISNUMBER($H19))),"",$E19*IF($G19="2 weeks",MAX(0,MIN($F19-1,INT((EOMONTH(Settings!$C$7,4)-$H19)/14))-MAX(0,-INT(-(EDATE(Settings!$C$7,4)-$H19)/14))+1),IF(AND(((YEAR(EDATE(Settings!$C$7,4))*12+MONTH(EDATE(Settings!$C$7,4)))-(YEAR($H19)*12+MONTH($H19)))&gt;=0,((YEAR(EDATE(Settings!$C$7,4))*12+MONTH(EDATE(Settings!$C$7,4)))-(YEAR($H19)*12+MONTH($H19)))&lt;$F19),1,0)))</f>
        <v/>
      </c>
      <c r="W19" s="1">
        <f>IF(ISNUMBER($M19),$M19+ROW()/10000000,"")</f>
        <v/>
      </c>
      <c r="X19" s="1" t="n"/>
    </row>
    <row r="20" ht="22" customHeight="1">
      <c r="A20" s="1" t="n"/>
      <c r="B20" s="56" t="n"/>
      <c r="C20" s="59" t="n"/>
      <c r="D20" s="60" t="n"/>
      <c r="E20" s="60" t="n"/>
      <c r="F20" s="63" t="n"/>
      <c r="G20" s="59" t="n"/>
      <c r="H20" s="64" t="n"/>
      <c r="I20" s="59" t="n"/>
      <c r="J20" s="65" t="n"/>
      <c r="K20" s="21">
        <f>IF(AND($B20&lt;&gt;"",N($E20)&gt;0,N($F20)&gt;0),$E20*$F20,"")</f>
        <v/>
      </c>
      <c r="L20" s="21">
        <f>IF(AND(ISNUMBER($K20),ISNUMBER($D20)),MAX(0,$K20-$D20),"")</f>
        <v/>
      </c>
      <c r="M20" s="32">
        <f>IF(NOT(AND($B20&lt;&gt;"",N($E20)&gt;0,N($F20)&gt;0)),"",IF(ISNUMBER($J20),$J20,IF(NOT(ISNUMBER($D20)),"",IF($K20&lt;=$D20+0.005,0,IFERROR(RATE($F20,-$E20,$D20,0,IF($I20="Yes",1,0))*IF($G20="2 weeks",26,12),"")))))</f>
        <v/>
      </c>
      <c r="N20" s="66">
        <f>IF(NOT(AND(AND($B20&lt;&gt;"",N($E20)&gt;0,N($F20)&gt;0),ISNUMBER($H20))),"",IF($G20="2 weeks",$H20+14*($F20-1),EDATE($H20,$F20-1)))</f>
        <v/>
      </c>
      <c r="O20" s="67">
        <f>IF(NOT(AND(AND($B20&lt;&gt;"",N($E20)&gt;0,N($F20)&gt;0),ISNUMBER($H20))),"",$F20-IF(Settings!$C$11&lt;=$H20,0,MIN($F20,IF($G20="2 weeks",INT((Settings!$C$11-$H20-1)/14)+1,DATEDIF($H20,Settings!$C$11,"M")+IF(EDATE($H20,DATEDIF($H20,Settings!$C$11,"M"))&lt;Settings!$C$11,1,0)))))</f>
        <v/>
      </c>
      <c r="P20" s="21">
        <f>IF(ISNUMBER($O20),$O20*$E20,"")</f>
        <v/>
      </c>
      <c r="Q20" s="33">
        <f>IF(NOT(ISNUMBER($M20)),"",IF($M20&gt;=Settings!$C$8,"HIGH",IF($M20&gt;=Settings!$C$9,"CHECK","OK")))</f>
        <v/>
      </c>
      <c r="R20" s="21">
        <f>IF(NOT(AND(AND($B20&lt;&gt;"",N($E20)&gt;0,N($F20)&gt;0),ISNUMBER($H20))),"",$E20*IF($G20="2 weeks",MAX(0,MIN($F20-1,INT((EOMONTH(Settings!$C$7,0)-$H20)/14))-MAX(0,-INT(-(EDATE(Settings!$C$7,0)-$H20)/14))+1),IF(AND(((YEAR(EDATE(Settings!$C$7,0))*12+MONTH(EDATE(Settings!$C$7,0)))-(YEAR($H20)*12+MONTH($H20)))&gt;=0,((YEAR(EDATE(Settings!$C$7,0))*12+MONTH(EDATE(Settings!$C$7,0)))-(YEAR($H20)*12+MONTH($H20)))&lt;$F20),1,0)))</f>
        <v/>
      </c>
      <c r="S20" s="21">
        <f>IF(NOT(AND(AND($B20&lt;&gt;"",N($E20)&gt;0,N($F20)&gt;0),ISNUMBER($H20))),"",$E20*IF($G20="2 weeks",MAX(0,MIN($F20-1,INT((EOMONTH(Settings!$C$7,1)-$H20)/14))-MAX(0,-INT(-(EDATE(Settings!$C$7,1)-$H20)/14))+1),IF(AND(((YEAR(EDATE(Settings!$C$7,1))*12+MONTH(EDATE(Settings!$C$7,1)))-(YEAR($H20)*12+MONTH($H20)))&gt;=0,((YEAR(EDATE(Settings!$C$7,1))*12+MONTH(EDATE(Settings!$C$7,1)))-(YEAR($H20)*12+MONTH($H20)))&lt;$F20),1,0)))</f>
        <v/>
      </c>
      <c r="T20" s="21">
        <f>IF(NOT(AND(AND($B20&lt;&gt;"",N($E20)&gt;0,N($F20)&gt;0),ISNUMBER($H20))),"",$E20*IF($G20="2 weeks",MAX(0,MIN($F20-1,INT((EOMONTH(Settings!$C$7,2)-$H20)/14))-MAX(0,-INT(-(EDATE(Settings!$C$7,2)-$H20)/14))+1),IF(AND(((YEAR(EDATE(Settings!$C$7,2))*12+MONTH(EDATE(Settings!$C$7,2)))-(YEAR($H20)*12+MONTH($H20)))&gt;=0,((YEAR(EDATE(Settings!$C$7,2))*12+MONTH(EDATE(Settings!$C$7,2)))-(YEAR($H20)*12+MONTH($H20)))&lt;$F20),1,0)))</f>
        <v/>
      </c>
      <c r="U20" s="21">
        <f>IF(NOT(AND(AND($B20&lt;&gt;"",N($E20)&gt;0,N($F20)&gt;0),ISNUMBER($H20))),"",$E20*IF($G20="2 weeks",MAX(0,MIN($F20-1,INT((EOMONTH(Settings!$C$7,3)-$H20)/14))-MAX(0,-INT(-(EDATE(Settings!$C$7,3)-$H20)/14))+1),IF(AND(((YEAR(EDATE(Settings!$C$7,3))*12+MONTH(EDATE(Settings!$C$7,3)))-(YEAR($H20)*12+MONTH($H20)))&gt;=0,((YEAR(EDATE(Settings!$C$7,3))*12+MONTH(EDATE(Settings!$C$7,3)))-(YEAR($H20)*12+MONTH($H20)))&lt;$F20),1,0)))</f>
        <v/>
      </c>
      <c r="V20" s="21">
        <f>IF(NOT(AND(AND($B20&lt;&gt;"",N($E20)&gt;0,N($F20)&gt;0),ISNUMBER($H20))),"",$E20*IF($G20="2 weeks",MAX(0,MIN($F20-1,INT((EOMONTH(Settings!$C$7,4)-$H20)/14))-MAX(0,-INT(-(EDATE(Settings!$C$7,4)-$H20)/14))+1),IF(AND(((YEAR(EDATE(Settings!$C$7,4))*12+MONTH(EDATE(Settings!$C$7,4)))-(YEAR($H20)*12+MONTH($H20)))&gt;=0,((YEAR(EDATE(Settings!$C$7,4))*12+MONTH(EDATE(Settings!$C$7,4)))-(YEAR($H20)*12+MONTH($H20)))&lt;$F20),1,0)))</f>
        <v/>
      </c>
      <c r="W20" s="1">
        <f>IF(ISNUMBER($M20),$M20+ROW()/10000000,"")</f>
        <v/>
      </c>
      <c r="X20" s="1" t="n"/>
    </row>
    <row r="21" ht="22" customHeight="1">
      <c r="A21" s="1" t="n"/>
      <c r="B21" s="57" t="n"/>
      <c r="C21" s="61" t="n"/>
      <c r="D21" s="62" t="n"/>
      <c r="E21" s="62" t="n"/>
      <c r="F21" s="68" t="n"/>
      <c r="G21" s="61" t="n"/>
      <c r="H21" s="69" t="n"/>
      <c r="I21" s="61" t="n"/>
      <c r="J21" s="70" t="n"/>
      <c r="K21" s="24">
        <f>IF(AND($B21&lt;&gt;"",N($E21)&gt;0,N($F21)&gt;0),$E21*$F21,"")</f>
        <v/>
      </c>
      <c r="L21" s="24">
        <f>IF(AND(ISNUMBER($K21),ISNUMBER($D21)),MAX(0,$K21-$D21),"")</f>
        <v/>
      </c>
      <c r="M21" s="34">
        <f>IF(NOT(AND($B21&lt;&gt;"",N($E21)&gt;0,N($F21)&gt;0)),"",IF(ISNUMBER($J21),$J21,IF(NOT(ISNUMBER($D21)),"",IF($K21&lt;=$D21+0.005,0,IFERROR(RATE($F21,-$E21,$D21,0,IF($I21="Yes",1,0))*IF($G21="2 weeks",26,12),"")))))</f>
        <v/>
      </c>
      <c r="N21" s="71">
        <f>IF(NOT(AND(AND($B21&lt;&gt;"",N($E21)&gt;0,N($F21)&gt;0),ISNUMBER($H21))),"",IF($G21="2 weeks",$H21+14*($F21-1),EDATE($H21,$F21-1)))</f>
        <v/>
      </c>
      <c r="O21" s="72">
        <f>IF(NOT(AND(AND($B21&lt;&gt;"",N($E21)&gt;0,N($F21)&gt;0),ISNUMBER($H21))),"",$F21-IF(Settings!$C$11&lt;=$H21,0,MIN($F21,IF($G21="2 weeks",INT((Settings!$C$11-$H21-1)/14)+1,DATEDIF($H21,Settings!$C$11,"M")+IF(EDATE($H21,DATEDIF($H21,Settings!$C$11,"M"))&lt;Settings!$C$11,1,0)))))</f>
        <v/>
      </c>
      <c r="P21" s="24">
        <f>IF(ISNUMBER($O21),$O21*$E21,"")</f>
        <v/>
      </c>
      <c r="Q21" s="35">
        <f>IF(NOT(ISNUMBER($M21)),"",IF($M21&gt;=Settings!$C$8,"HIGH",IF($M21&gt;=Settings!$C$9,"CHECK","OK")))</f>
        <v/>
      </c>
      <c r="R21" s="24">
        <f>IF(NOT(AND(AND($B21&lt;&gt;"",N($E21)&gt;0,N($F21)&gt;0),ISNUMBER($H21))),"",$E21*IF($G21="2 weeks",MAX(0,MIN($F21-1,INT((EOMONTH(Settings!$C$7,0)-$H21)/14))-MAX(0,-INT(-(EDATE(Settings!$C$7,0)-$H21)/14))+1),IF(AND(((YEAR(EDATE(Settings!$C$7,0))*12+MONTH(EDATE(Settings!$C$7,0)))-(YEAR($H21)*12+MONTH($H21)))&gt;=0,((YEAR(EDATE(Settings!$C$7,0))*12+MONTH(EDATE(Settings!$C$7,0)))-(YEAR($H21)*12+MONTH($H21)))&lt;$F21),1,0)))</f>
        <v/>
      </c>
      <c r="S21" s="24">
        <f>IF(NOT(AND(AND($B21&lt;&gt;"",N($E21)&gt;0,N($F21)&gt;0),ISNUMBER($H21))),"",$E21*IF($G21="2 weeks",MAX(0,MIN($F21-1,INT((EOMONTH(Settings!$C$7,1)-$H21)/14))-MAX(0,-INT(-(EDATE(Settings!$C$7,1)-$H21)/14))+1),IF(AND(((YEAR(EDATE(Settings!$C$7,1))*12+MONTH(EDATE(Settings!$C$7,1)))-(YEAR($H21)*12+MONTH($H21)))&gt;=0,((YEAR(EDATE(Settings!$C$7,1))*12+MONTH(EDATE(Settings!$C$7,1)))-(YEAR($H21)*12+MONTH($H21)))&lt;$F21),1,0)))</f>
        <v/>
      </c>
      <c r="T21" s="24">
        <f>IF(NOT(AND(AND($B21&lt;&gt;"",N($E21)&gt;0,N($F21)&gt;0),ISNUMBER($H21))),"",$E21*IF($G21="2 weeks",MAX(0,MIN($F21-1,INT((EOMONTH(Settings!$C$7,2)-$H21)/14))-MAX(0,-INT(-(EDATE(Settings!$C$7,2)-$H21)/14))+1),IF(AND(((YEAR(EDATE(Settings!$C$7,2))*12+MONTH(EDATE(Settings!$C$7,2)))-(YEAR($H21)*12+MONTH($H21)))&gt;=0,((YEAR(EDATE(Settings!$C$7,2))*12+MONTH(EDATE(Settings!$C$7,2)))-(YEAR($H21)*12+MONTH($H21)))&lt;$F21),1,0)))</f>
        <v/>
      </c>
      <c r="U21" s="24">
        <f>IF(NOT(AND(AND($B21&lt;&gt;"",N($E21)&gt;0,N($F21)&gt;0),ISNUMBER($H21))),"",$E21*IF($G21="2 weeks",MAX(0,MIN($F21-1,INT((EOMONTH(Settings!$C$7,3)-$H21)/14))-MAX(0,-INT(-(EDATE(Settings!$C$7,3)-$H21)/14))+1),IF(AND(((YEAR(EDATE(Settings!$C$7,3))*12+MONTH(EDATE(Settings!$C$7,3)))-(YEAR($H21)*12+MONTH($H21)))&gt;=0,((YEAR(EDATE(Settings!$C$7,3))*12+MONTH(EDATE(Settings!$C$7,3)))-(YEAR($H21)*12+MONTH($H21)))&lt;$F21),1,0)))</f>
        <v/>
      </c>
      <c r="V21" s="24">
        <f>IF(NOT(AND(AND($B21&lt;&gt;"",N($E21)&gt;0,N($F21)&gt;0),ISNUMBER($H21))),"",$E21*IF($G21="2 weeks",MAX(0,MIN($F21-1,INT((EOMONTH(Settings!$C$7,4)-$H21)/14))-MAX(0,-INT(-(EDATE(Settings!$C$7,4)-$H21)/14))+1),IF(AND(((YEAR(EDATE(Settings!$C$7,4))*12+MONTH(EDATE(Settings!$C$7,4)))-(YEAR($H21)*12+MONTH($H21)))&gt;=0,((YEAR(EDATE(Settings!$C$7,4))*12+MONTH(EDATE(Settings!$C$7,4)))-(YEAR($H21)*12+MONTH($H21)))&lt;$F21),1,0)))</f>
        <v/>
      </c>
      <c r="W21" s="1">
        <f>IF(ISNUMBER($M21),$M21+ROW()/10000000,"")</f>
        <v/>
      </c>
      <c r="X21" s="1" t="n"/>
    </row>
    <row r="22" ht="22" customHeight="1">
      <c r="A22" s="1" t="n"/>
      <c r="B22" s="56" t="n"/>
      <c r="C22" s="59" t="n"/>
      <c r="D22" s="60" t="n"/>
      <c r="E22" s="60" t="n"/>
      <c r="F22" s="63" t="n"/>
      <c r="G22" s="59" t="n"/>
      <c r="H22" s="64" t="n"/>
      <c r="I22" s="59" t="n"/>
      <c r="J22" s="65" t="n"/>
      <c r="K22" s="21">
        <f>IF(AND($B22&lt;&gt;"",N($E22)&gt;0,N($F22)&gt;0),$E22*$F22,"")</f>
        <v/>
      </c>
      <c r="L22" s="21">
        <f>IF(AND(ISNUMBER($K22),ISNUMBER($D22)),MAX(0,$K22-$D22),"")</f>
        <v/>
      </c>
      <c r="M22" s="32">
        <f>IF(NOT(AND($B22&lt;&gt;"",N($E22)&gt;0,N($F22)&gt;0)),"",IF(ISNUMBER($J22),$J22,IF(NOT(ISNUMBER($D22)),"",IF($K22&lt;=$D22+0.005,0,IFERROR(RATE($F22,-$E22,$D22,0,IF($I22="Yes",1,0))*IF($G22="2 weeks",26,12),"")))))</f>
        <v/>
      </c>
      <c r="N22" s="66">
        <f>IF(NOT(AND(AND($B22&lt;&gt;"",N($E22)&gt;0,N($F22)&gt;0),ISNUMBER($H22))),"",IF($G22="2 weeks",$H22+14*($F22-1),EDATE($H22,$F22-1)))</f>
        <v/>
      </c>
      <c r="O22" s="67">
        <f>IF(NOT(AND(AND($B22&lt;&gt;"",N($E22)&gt;0,N($F22)&gt;0),ISNUMBER($H22))),"",$F22-IF(Settings!$C$11&lt;=$H22,0,MIN($F22,IF($G22="2 weeks",INT((Settings!$C$11-$H22-1)/14)+1,DATEDIF($H22,Settings!$C$11,"M")+IF(EDATE($H22,DATEDIF($H22,Settings!$C$11,"M"))&lt;Settings!$C$11,1,0)))))</f>
        <v/>
      </c>
      <c r="P22" s="21">
        <f>IF(ISNUMBER($O22),$O22*$E22,"")</f>
        <v/>
      </c>
      <c r="Q22" s="33">
        <f>IF(NOT(ISNUMBER($M22)),"",IF($M22&gt;=Settings!$C$8,"HIGH",IF($M22&gt;=Settings!$C$9,"CHECK","OK")))</f>
        <v/>
      </c>
      <c r="R22" s="21">
        <f>IF(NOT(AND(AND($B22&lt;&gt;"",N($E22)&gt;0,N($F22)&gt;0),ISNUMBER($H22))),"",$E22*IF($G22="2 weeks",MAX(0,MIN($F22-1,INT((EOMONTH(Settings!$C$7,0)-$H22)/14))-MAX(0,-INT(-(EDATE(Settings!$C$7,0)-$H22)/14))+1),IF(AND(((YEAR(EDATE(Settings!$C$7,0))*12+MONTH(EDATE(Settings!$C$7,0)))-(YEAR($H22)*12+MONTH($H22)))&gt;=0,((YEAR(EDATE(Settings!$C$7,0))*12+MONTH(EDATE(Settings!$C$7,0)))-(YEAR($H22)*12+MONTH($H22)))&lt;$F22),1,0)))</f>
        <v/>
      </c>
      <c r="S22" s="21">
        <f>IF(NOT(AND(AND($B22&lt;&gt;"",N($E22)&gt;0,N($F22)&gt;0),ISNUMBER($H22))),"",$E22*IF($G22="2 weeks",MAX(0,MIN($F22-1,INT((EOMONTH(Settings!$C$7,1)-$H22)/14))-MAX(0,-INT(-(EDATE(Settings!$C$7,1)-$H22)/14))+1),IF(AND(((YEAR(EDATE(Settings!$C$7,1))*12+MONTH(EDATE(Settings!$C$7,1)))-(YEAR($H22)*12+MONTH($H22)))&gt;=0,((YEAR(EDATE(Settings!$C$7,1))*12+MONTH(EDATE(Settings!$C$7,1)))-(YEAR($H22)*12+MONTH($H22)))&lt;$F22),1,0)))</f>
        <v/>
      </c>
      <c r="T22" s="21">
        <f>IF(NOT(AND(AND($B22&lt;&gt;"",N($E22)&gt;0,N($F22)&gt;0),ISNUMBER($H22))),"",$E22*IF($G22="2 weeks",MAX(0,MIN($F22-1,INT((EOMONTH(Settings!$C$7,2)-$H22)/14))-MAX(0,-INT(-(EDATE(Settings!$C$7,2)-$H22)/14))+1),IF(AND(((YEAR(EDATE(Settings!$C$7,2))*12+MONTH(EDATE(Settings!$C$7,2)))-(YEAR($H22)*12+MONTH($H22)))&gt;=0,((YEAR(EDATE(Settings!$C$7,2))*12+MONTH(EDATE(Settings!$C$7,2)))-(YEAR($H22)*12+MONTH($H22)))&lt;$F22),1,0)))</f>
        <v/>
      </c>
      <c r="U22" s="21">
        <f>IF(NOT(AND(AND($B22&lt;&gt;"",N($E22)&gt;0,N($F22)&gt;0),ISNUMBER($H22))),"",$E22*IF($G22="2 weeks",MAX(0,MIN($F22-1,INT((EOMONTH(Settings!$C$7,3)-$H22)/14))-MAX(0,-INT(-(EDATE(Settings!$C$7,3)-$H22)/14))+1),IF(AND(((YEAR(EDATE(Settings!$C$7,3))*12+MONTH(EDATE(Settings!$C$7,3)))-(YEAR($H22)*12+MONTH($H22)))&gt;=0,((YEAR(EDATE(Settings!$C$7,3))*12+MONTH(EDATE(Settings!$C$7,3)))-(YEAR($H22)*12+MONTH($H22)))&lt;$F22),1,0)))</f>
        <v/>
      </c>
      <c r="V22" s="21">
        <f>IF(NOT(AND(AND($B22&lt;&gt;"",N($E22)&gt;0,N($F22)&gt;0),ISNUMBER($H22))),"",$E22*IF($G22="2 weeks",MAX(0,MIN($F22-1,INT((EOMONTH(Settings!$C$7,4)-$H22)/14))-MAX(0,-INT(-(EDATE(Settings!$C$7,4)-$H22)/14))+1),IF(AND(((YEAR(EDATE(Settings!$C$7,4))*12+MONTH(EDATE(Settings!$C$7,4)))-(YEAR($H22)*12+MONTH($H22)))&gt;=0,((YEAR(EDATE(Settings!$C$7,4))*12+MONTH(EDATE(Settings!$C$7,4)))-(YEAR($H22)*12+MONTH($H22)))&lt;$F22),1,0)))</f>
        <v/>
      </c>
      <c r="W22" s="1">
        <f>IF(ISNUMBER($M22),$M22+ROW()/10000000,"")</f>
        <v/>
      </c>
      <c r="X22" s="1" t="n"/>
    </row>
    <row r="23" ht="22" customHeight="1">
      <c r="A23" s="1" t="n"/>
      <c r="B23" s="57" t="n"/>
      <c r="C23" s="61" t="n"/>
      <c r="D23" s="62" t="n"/>
      <c r="E23" s="62" t="n"/>
      <c r="F23" s="68" t="n"/>
      <c r="G23" s="61" t="n"/>
      <c r="H23" s="69" t="n"/>
      <c r="I23" s="61" t="n"/>
      <c r="J23" s="70" t="n"/>
      <c r="K23" s="24">
        <f>IF(AND($B23&lt;&gt;"",N($E23)&gt;0,N($F23)&gt;0),$E23*$F23,"")</f>
        <v/>
      </c>
      <c r="L23" s="24">
        <f>IF(AND(ISNUMBER($K23),ISNUMBER($D23)),MAX(0,$K23-$D23),"")</f>
        <v/>
      </c>
      <c r="M23" s="34">
        <f>IF(NOT(AND($B23&lt;&gt;"",N($E23)&gt;0,N($F23)&gt;0)),"",IF(ISNUMBER($J23),$J23,IF(NOT(ISNUMBER($D23)),"",IF($K23&lt;=$D23+0.005,0,IFERROR(RATE($F23,-$E23,$D23,0,IF($I23="Yes",1,0))*IF($G23="2 weeks",26,12),"")))))</f>
        <v/>
      </c>
      <c r="N23" s="71">
        <f>IF(NOT(AND(AND($B23&lt;&gt;"",N($E23)&gt;0,N($F23)&gt;0),ISNUMBER($H23))),"",IF($G23="2 weeks",$H23+14*($F23-1),EDATE($H23,$F23-1)))</f>
        <v/>
      </c>
      <c r="O23" s="72">
        <f>IF(NOT(AND(AND($B23&lt;&gt;"",N($E23)&gt;0,N($F23)&gt;0),ISNUMBER($H23))),"",$F23-IF(Settings!$C$11&lt;=$H23,0,MIN($F23,IF($G23="2 weeks",INT((Settings!$C$11-$H23-1)/14)+1,DATEDIF($H23,Settings!$C$11,"M")+IF(EDATE($H23,DATEDIF($H23,Settings!$C$11,"M"))&lt;Settings!$C$11,1,0)))))</f>
        <v/>
      </c>
      <c r="P23" s="24">
        <f>IF(ISNUMBER($O23),$O23*$E23,"")</f>
        <v/>
      </c>
      <c r="Q23" s="35">
        <f>IF(NOT(ISNUMBER($M23)),"",IF($M23&gt;=Settings!$C$8,"HIGH",IF($M23&gt;=Settings!$C$9,"CHECK","OK")))</f>
        <v/>
      </c>
      <c r="R23" s="24">
        <f>IF(NOT(AND(AND($B23&lt;&gt;"",N($E23)&gt;0,N($F23)&gt;0),ISNUMBER($H23))),"",$E23*IF($G23="2 weeks",MAX(0,MIN($F23-1,INT((EOMONTH(Settings!$C$7,0)-$H23)/14))-MAX(0,-INT(-(EDATE(Settings!$C$7,0)-$H23)/14))+1),IF(AND(((YEAR(EDATE(Settings!$C$7,0))*12+MONTH(EDATE(Settings!$C$7,0)))-(YEAR($H23)*12+MONTH($H23)))&gt;=0,((YEAR(EDATE(Settings!$C$7,0))*12+MONTH(EDATE(Settings!$C$7,0)))-(YEAR($H23)*12+MONTH($H23)))&lt;$F23),1,0)))</f>
        <v/>
      </c>
      <c r="S23" s="24">
        <f>IF(NOT(AND(AND($B23&lt;&gt;"",N($E23)&gt;0,N($F23)&gt;0),ISNUMBER($H23))),"",$E23*IF($G23="2 weeks",MAX(0,MIN($F23-1,INT((EOMONTH(Settings!$C$7,1)-$H23)/14))-MAX(0,-INT(-(EDATE(Settings!$C$7,1)-$H23)/14))+1),IF(AND(((YEAR(EDATE(Settings!$C$7,1))*12+MONTH(EDATE(Settings!$C$7,1)))-(YEAR($H23)*12+MONTH($H23)))&gt;=0,((YEAR(EDATE(Settings!$C$7,1))*12+MONTH(EDATE(Settings!$C$7,1)))-(YEAR($H23)*12+MONTH($H23)))&lt;$F23),1,0)))</f>
        <v/>
      </c>
      <c r="T23" s="24">
        <f>IF(NOT(AND(AND($B23&lt;&gt;"",N($E23)&gt;0,N($F23)&gt;0),ISNUMBER($H23))),"",$E23*IF($G23="2 weeks",MAX(0,MIN($F23-1,INT((EOMONTH(Settings!$C$7,2)-$H23)/14))-MAX(0,-INT(-(EDATE(Settings!$C$7,2)-$H23)/14))+1),IF(AND(((YEAR(EDATE(Settings!$C$7,2))*12+MONTH(EDATE(Settings!$C$7,2)))-(YEAR($H23)*12+MONTH($H23)))&gt;=0,((YEAR(EDATE(Settings!$C$7,2))*12+MONTH(EDATE(Settings!$C$7,2)))-(YEAR($H23)*12+MONTH($H23)))&lt;$F23),1,0)))</f>
        <v/>
      </c>
      <c r="U23" s="24">
        <f>IF(NOT(AND(AND($B23&lt;&gt;"",N($E23)&gt;0,N($F23)&gt;0),ISNUMBER($H23))),"",$E23*IF($G23="2 weeks",MAX(0,MIN($F23-1,INT((EOMONTH(Settings!$C$7,3)-$H23)/14))-MAX(0,-INT(-(EDATE(Settings!$C$7,3)-$H23)/14))+1),IF(AND(((YEAR(EDATE(Settings!$C$7,3))*12+MONTH(EDATE(Settings!$C$7,3)))-(YEAR($H23)*12+MONTH($H23)))&gt;=0,((YEAR(EDATE(Settings!$C$7,3))*12+MONTH(EDATE(Settings!$C$7,3)))-(YEAR($H23)*12+MONTH($H23)))&lt;$F23),1,0)))</f>
        <v/>
      </c>
      <c r="V23" s="24">
        <f>IF(NOT(AND(AND($B23&lt;&gt;"",N($E23)&gt;0,N($F23)&gt;0),ISNUMBER($H23))),"",$E23*IF($G23="2 weeks",MAX(0,MIN($F23-1,INT((EOMONTH(Settings!$C$7,4)-$H23)/14))-MAX(0,-INT(-(EDATE(Settings!$C$7,4)-$H23)/14))+1),IF(AND(((YEAR(EDATE(Settings!$C$7,4))*12+MONTH(EDATE(Settings!$C$7,4)))-(YEAR($H23)*12+MONTH($H23)))&gt;=0,((YEAR(EDATE(Settings!$C$7,4))*12+MONTH(EDATE(Settings!$C$7,4)))-(YEAR($H23)*12+MONTH($H23)))&lt;$F23),1,0)))</f>
        <v/>
      </c>
      <c r="W23" s="1">
        <f>IF(ISNUMBER($M23),$M23+ROW()/10000000,"")</f>
        <v/>
      </c>
      <c r="X23" s="1" t="n"/>
    </row>
    <row r="24" ht="22" customHeight="1">
      <c r="A24" s="1" t="n"/>
      <c r="B24" s="56" t="n"/>
      <c r="C24" s="59" t="n"/>
      <c r="D24" s="60" t="n"/>
      <c r="E24" s="60" t="n"/>
      <c r="F24" s="63" t="n"/>
      <c r="G24" s="59" t="n"/>
      <c r="H24" s="64" t="n"/>
      <c r="I24" s="59" t="n"/>
      <c r="J24" s="65" t="n"/>
      <c r="K24" s="21">
        <f>IF(AND($B24&lt;&gt;"",N($E24)&gt;0,N($F24)&gt;0),$E24*$F24,"")</f>
        <v/>
      </c>
      <c r="L24" s="21">
        <f>IF(AND(ISNUMBER($K24),ISNUMBER($D24)),MAX(0,$K24-$D24),"")</f>
        <v/>
      </c>
      <c r="M24" s="32">
        <f>IF(NOT(AND($B24&lt;&gt;"",N($E24)&gt;0,N($F24)&gt;0)),"",IF(ISNUMBER($J24),$J24,IF(NOT(ISNUMBER($D24)),"",IF($K24&lt;=$D24+0.005,0,IFERROR(RATE($F24,-$E24,$D24,0,IF($I24="Yes",1,0))*IF($G24="2 weeks",26,12),"")))))</f>
        <v/>
      </c>
      <c r="N24" s="66">
        <f>IF(NOT(AND(AND($B24&lt;&gt;"",N($E24)&gt;0,N($F24)&gt;0),ISNUMBER($H24))),"",IF($G24="2 weeks",$H24+14*($F24-1),EDATE($H24,$F24-1)))</f>
        <v/>
      </c>
      <c r="O24" s="67">
        <f>IF(NOT(AND(AND($B24&lt;&gt;"",N($E24)&gt;0,N($F24)&gt;0),ISNUMBER($H24))),"",$F24-IF(Settings!$C$11&lt;=$H24,0,MIN($F24,IF($G24="2 weeks",INT((Settings!$C$11-$H24-1)/14)+1,DATEDIF($H24,Settings!$C$11,"M")+IF(EDATE($H24,DATEDIF($H24,Settings!$C$11,"M"))&lt;Settings!$C$11,1,0)))))</f>
        <v/>
      </c>
      <c r="P24" s="21">
        <f>IF(ISNUMBER($O24),$O24*$E24,"")</f>
        <v/>
      </c>
      <c r="Q24" s="33">
        <f>IF(NOT(ISNUMBER($M24)),"",IF($M24&gt;=Settings!$C$8,"HIGH",IF($M24&gt;=Settings!$C$9,"CHECK","OK")))</f>
        <v/>
      </c>
      <c r="R24" s="21">
        <f>IF(NOT(AND(AND($B24&lt;&gt;"",N($E24)&gt;0,N($F24)&gt;0),ISNUMBER($H24))),"",$E24*IF($G24="2 weeks",MAX(0,MIN($F24-1,INT((EOMONTH(Settings!$C$7,0)-$H24)/14))-MAX(0,-INT(-(EDATE(Settings!$C$7,0)-$H24)/14))+1),IF(AND(((YEAR(EDATE(Settings!$C$7,0))*12+MONTH(EDATE(Settings!$C$7,0)))-(YEAR($H24)*12+MONTH($H24)))&gt;=0,((YEAR(EDATE(Settings!$C$7,0))*12+MONTH(EDATE(Settings!$C$7,0)))-(YEAR($H24)*12+MONTH($H24)))&lt;$F24),1,0)))</f>
        <v/>
      </c>
      <c r="S24" s="21">
        <f>IF(NOT(AND(AND($B24&lt;&gt;"",N($E24)&gt;0,N($F24)&gt;0),ISNUMBER($H24))),"",$E24*IF($G24="2 weeks",MAX(0,MIN($F24-1,INT((EOMONTH(Settings!$C$7,1)-$H24)/14))-MAX(0,-INT(-(EDATE(Settings!$C$7,1)-$H24)/14))+1),IF(AND(((YEAR(EDATE(Settings!$C$7,1))*12+MONTH(EDATE(Settings!$C$7,1)))-(YEAR($H24)*12+MONTH($H24)))&gt;=0,((YEAR(EDATE(Settings!$C$7,1))*12+MONTH(EDATE(Settings!$C$7,1)))-(YEAR($H24)*12+MONTH($H24)))&lt;$F24),1,0)))</f>
        <v/>
      </c>
      <c r="T24" s="21">
        <f>IF(NOT(AND(AND($B24&lt;&gt;"",N($E24)&gt;0,N($F24)&gt;0),ISNUMBER($H24))),"",$E24*IF($G24="2 weeks",MAX(0,MIN($F24-1,INT((EOMONTH(Settings!$C$7,2)-$H24)/14))-MAX(0,-INT(-(EDATE(Settings!$C$7,2)-$H24)/14))+1),IF(AND(((YEAR(EDATE(Settings!$C$7,2))*12+MONTH(EDATE(Settings!$C$7,2)))-(YEAR($H24)*12+MONTH($H24)))&gt;=0,((YEAR(EDATE(Settings!$C$7,2))*12+MONTH(EDATE(Settings!$C$7,2)))-(YEAR($H24)*12+MONTH($H24)))&lt;$F24),1,0)))</f>
        <v/>
      </c>
      <c r="U24" s="21">
        <f>IF(NOT(AND(AND($B24&lt;&gt;"",N($E24)&gt;0,N($F24)&gt;0),ISNUMBER($H24))),"",$E24*IF($G24="2 weeks",MAX(0,MIN($F24-1,INT((EOMONTH(Settings!$C$7,3)-$H24)/14))-MAX(0,-INT(-(EDATE(Settings!$C$7,3)-$H24)/14))+1),IF(AND(((YEAR(EDATE(Settings!$C$7,3))*12+MONTH(EDATE(Settings!$C$7,3)))-(YEAR($H24)*12+MONTH($H24)))&gt;=0,((YEAR(EDATE(Settings!$C$7,3))*12+MONTH(EDATE(Settings!$C$7,3)))-(YEAR($H24)*12+MONTH($H24)))&lt;$F24),1,0)))</f>
        <v/>
      </c>
      <c r="V24" s="21">
        <f>IF(NOT(AND(AND($B24&lt;&gt;"",N($E24)&gt;0,N($F24)&gt;0),ISNUMBER($H24))),"",$E24*IF($G24="2 weeks",MAX(0,MIN($F24-1,INT((EOMONTH(Settings!$C$7,4)-$H24)/14))-MAX(0,-INT(-(EDATE(Settings!$C$7,4)-$H24)/14))+1),IF(AND(((YEAR(EDATE(Settings!$C$7,4))*12+MONTH(EDATE(Settings!$C$7,4)))-(YEAR($H24)*12+MONTH($H24)))&gt;=0,((YEAR(EDATE(Settings!$C$7,4))*12+MONTH(EDATE(Settings!$C$7,4)))-(YEAR($H24)*12+MONTH($H24)))&lt;$F24),1,0)))</f>
        <v/>
      </c>
      <c r="W24" s="1">
        <f>IF(ISNUMBER($M24),$M24+ROW()/10000000,"")</f>
        <v/>
      </c>
      <c r="X24" s="1" t="n"/>
    </row>
    <row r="25" ht="22" customHeight="1">
      <c r="A25" s="1" t="n"/>
      <c r="B25" s="57" t="n"/>
      <c r="C25" s="61" t="n"/>
      <c r="D25" s="62" t="n"/>
      <c r="E25" s="62" t="n"/>
      <c r="F25" s="68" t="n"/>
      <c r="G25" s="61" t="n"/>
      <c r="H25" s="69" t="n"/>
      <c r="I25" s="61" t="n"/>
      <c r="J25" s="70" t="n"/>
      <c r="K25" s="24">
        <f>IF(AND($B25&lt;&gt;"",N($E25)&gt;0,N($F25)&gt;0),$E25*$F25,"")</f>
        <v/>
      </c>
      <c r="L25" s="24">
        <f>IF(AND(ISNUMBER($K25),ISNUMBER($D25)),MAX(0,$K25-$D25),"")</f>
        <v/>
      </c>
      <c r="M25" s="34">
        <f>IF(NOT(AND($B25&lt;&gt;"",N($E25)&gt;0,N($F25)&gt;0)),"",IF(ISNUMBER($J25),$J25,IF(NOT(ISNUMBER($D25)),"",IF($K25&lt;=$D25+0.005,0,IFERROR(RATE($F25,-$E25,$D25,0,IF($I25="Yes",1,0))*IF($G25="2 weeks",26,12),"")))))</f>
        <v/>
      </c>
      <c r="N25" s="71">
        <f>IF(NOT(AND(AND($B25&lt;&gt;"",N($E25)&gt;0,N($F25)&gt;0),ISNUMBER($H25))),"",IF($G25="2 weeks",$H25+14*($F25-1),EDATE($H25,$F25-1)))</f>
        <v/>
      </c>
      <c r="O25" s="72">
        <f>IF(NOT(AND(AND($B25&lt;&gt;"",N($E25)&gt;0,N($F25)&gt;0),ISNUMBER($H25))),"",$F25-IF(Settings!$C$11&lt;=$H25,0,MIN($F25,IF($G25="2 weeks",INT((Settings!$C$11-$H25-1)/14)+1,DATEDIF($H25,Settings!$C$11,"M")+IF(EDATE($H25,DATEDIF($H25,Settings!$C$11,"M"))&lt;Settings!$C$11,1,0)))))</f>
        <v/>
      </c>
      <c r="P25" s="24">
        <f>IF(ISNUMBER($O25),$O25*$E25,"")</f>
        <v/>
      </c>
      <c r="Q25" s="35">
        <f>IF(NOT(ISNUMBER($M25)),"",IF($M25&gt;=Settings!$C$8,"HIGH",IF($M25&gt;=Settings!$C$9,"CHECK","OK")))</f>
        <v/>
      </c>
      <c r="R25" s="24">
        <f>IF(NOT(AND(AND($B25&lt;&gt;"",N($E25)&gt;0,N($F25)&gt;0),ISNUMBER($H25))),"",$E25*IF($G25="2 weeks",MAX(0,MIN($F25-1,INT((EOMONTH(Settings!$C$7,0)-$H25)/14))-MAX(0,-INT(-(EDATE(Settings!$C$7,0)-$H25)/14))+1),IF(AND(((YEAR(EDATE(Settings!$C$7,0))*12+MONTH(EDATE(Settings!$C$7,0)))-(YEAR($H25)*12+MONTH($H25)))&gt;=0,((YEAR(EDATE(Settings!$C$7,0))*12+MONTH(EDATE(Settings!$C$7,0)))-(YEAR($H25)*12+MONTH($H25)))&lt;$F25),1,0)))</f>
        <v/>
      </c>
      <c r="S25" s="24">
        <f>IF(NOT(AND(AND($B25&lt;&gt;"",N($E25)&gt;0,N($F25)&gt;0),ISNUMBER($H25))),"",$E25*IF($G25="2 weeks",MAX(0,MIN($F25-1,INT((EOMONTH(Settings!$C$7,1)-$H25)/14))-MAX(0,-INT(-(EDATE(Settings!$C$7,1)-$H25)/14))+1),IF(AND(((YEAR(EDATE(Settings!$C$7,1))*12+MONTH(EDATE(Settings!$C$7,1)))-(YEAR($H25)*12+MONTH($H25)))&gt;=0,((YEAR(EDATE(Settings!$C$7,1))*12+MONTH(EDATE(Settings!$C$7,1)))-(YEAR($H25)*12+MONTH($H25)))&lt;$F25),1,0)))</f>
        <v/>
      </c>
      <c r="T25" s="24">
        <f>IF(NOT(AND(AND($B25&lt;&gt;"",N($E25)&gt;0,N($F25)&gt;0),ISNUMBER($H25))),"",$E25*IF($G25="2 weeks",MAX(0,MIN($F25-1,INT((EOMONTH(Settings!$C$7,2)-$H25)/14))-MAX(0,-INT(-(EDATE(Settings!$C$7,2)-$H25)/14))+1),IF(AND(((YEAR(EDATE(Settings!$C$7,2))*12+MONTH(EDATE(Settings!$C$7,2)))-(YEAR($H25)*12+MONTH($H25)))&gt;=0,((YEAR(EDATE(Settings!$C$7,2))*12+MONTH(EDATE(Settings!$C$7,2)))-(YEAR($H25)*12+MONTH($H25)))&lt;$F25),1,0)))</f>
        <v/>
      </c>
      <c r="U25" s="24">
        <f>IF(NOT(AND(AND($B25&lt;&gt;"",N($E25)&gt;0,N($F25)&gt;0),ISNUMBER($H25))),"",$E25*IF($G25="2 weeks",MAX(0,MIN($F25-1,INT((EOMONTH(Settings!$C$7,3)-$H25)/14))-MAX(0,-INT(-(EDATE(Settings!$C$7,3)-$H25)/14))+1),IF(AND(((YEAR(EDATE(Settings!$C$7,3))*12+MONTH(EDATE(Settings!$C$7,3)))-(YEAR($H25)*12+MONTH($H25)))&gt;=0,((YEAR(EDATE(Settings!$C$7,3))*12+MONTH(EDATE(Settings!$C$7,3)))-(YEAR($H25)*12+MONTH($H25)))&lt;$F25),1,0)))</f>
        <v/>
      </c>
      <c r="V25" s="24">
        <f>IF(NOT(AND(AND($B25&lt;&gt;"",N($E25)&gt;0,N($F25)&gt;0),ISNUMBER($H25))),"",$E25*IF($G25="2 weeks",MAX(0,MIN($F25-1,INT((EOMONTH(Settings!$C$7,4)-$H25)/14))-MAX(0,-INT(-(EDATE(Settings!$C$7,4)-$H25)/14))+1),IF(AND(((YEAR(EDATE(Settings!$C$7,4))*12+MONTH(EDATE(Settings!$C$7,4)))-(YEAR($H25)*12+MONTH($H25)))&gt;=0,((YEAR(EDATE(Settings!$C$7,4))*12+MONTH(EDATE(Settings!$C$7,4)))-(YEAR($H25)*12+MONTH($H25)))&lt;$F25),1,0)))</f>
        <v/>
      </c>
      <c r="W25" s="1">
        <f>IF(ISNUMBER($M25),$M25+ROW()/10000000,"")</f>
        <v/>
      </c>
      <c r="X25" s="1" t="n"/>
    </row>
    <row r="2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row>
  </sheetData>
  <autoFilter ref="B5:Q25"/>
  <conditionalFormatting sqref="C6:C25">
    <cfRule type="cellIs" priority="1" operator="equal" dxfId="2">
      <formula>"Pay-in-4"</formula>
    </cfRule>
    <cfRule type="cellIs" priority="2" operator="equal" dxfId="1">
      <formula>"Monthly BNPL"</formula>
    </cfRule>
    <cfRule type="cellIs" priority="3" operator="equal" dxfId="1">
      <formula>"Store financing"</formula>
    </cfRule>
    <cfRule type="cellIs" priority="4" operator="equal" dxfId="6">
      <formula>"Credit card plan"</formula>
    </cfRule>
    <cfRule type="cellIs" priority="5" operator="equal" dxfId="7">
      <formula>"Other"</formula>
    </cfRule>
  </conditionalFormatting>
  <conditionalFormatting sqref="G6:G25">
    <cfRule type="cellIs" priority="6" operator="equal" dxfId="5">
      <formula>"2 weeks"</formula>
    </cfRule>
    <cfRule type="cellIs" priority="7" operator="equal" dxfId="4">
      <formula>"Month"</formula>
    </cfRule>
  </conditionalFormatting>
  <conditionalFormatting sqref="I6:I25">
    <cfRule type="cellIs" priority="8" operator="equal" dxfId="3">
      <formula>"Yes"</formula>
    </cfRule>
    <cfRule type="cellIs" priority="9" operator="equal" dxfId="7">
      <formula>"No"</formula>
    </cfRule>
  </conditionalFormatting>
  <conditionalFormatting sqref="Q6:Q25">
    <cfRule type="cellIs" priority="10" operator="equal" dxfId="1">
      <formula>"HIGH"</formula>
    </cfRule>
    <cfRule type="cellIs" priority="11" operator="equal" dxfId="2">
      <formula>"CHECK"</formula>
    </cfRule>
    <cfRule type="cellIs" priority="12" operator="equal" dxfId="3">
      <formula>"OK"</formula>
    </cfRule>
  </conditionalFormatting>
  <conditionalFormatting sqref="M6:M25">
    <cfRule type="expression" priority="13" dxfId="0">
      <formula>AND(ISNUMBER($M6),$M6&gt;=Settings!$C$8)</formula>
    </cfRule>
  </conditionalFormatting>
  <conditionalFormatting sqref="L6:L25">
    <cfRule type="expression" priority="14" dxfId="0">
      <formula>AND(ISNUMBER($L6),$L6&gt;0)</formula>
    </cfRule>
  </conditionalFormatting>
  <dataValidations count="3">
    <dataValidation sqref="C6:C25" showDropDown="0" showInputMessage="0" showErrorMessage="0" allowBlank="1" type="list">
      <formula1>=Settings!$E$14:$E$21</formula1>
    </dataValidation>
    <dataValidation sqref="G6:G25" showDropDown="0" showInputMessage="0" showErrorMessage="0" allowBlank="1" type="list">
      <formula1>=Settings!$F$14:$F$15</formula1>
    </dataValidation>
    <dataValidation sqref="I6:I25"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F4838"/>
    <outlinePr summaryBelow="1" summaryRight="1"/>
    <pageSetUpPr/>
  </sheetPr>
  <dimension ref="A1:N27"/>
  <sheetViews>
    <sheetView showGridLines="0" workbookViewId="0">
      <selection activeCell="A1" sqref="A1"/>
    </sheetView>
  </sheetViews>
  <sheetFormatPr baseColWidth="8" defaultRowHeight="15"/>
  <cols>
    <col width="3" customWidth="1" min="1" max="1"/>
    <col width="22" customWidth="1" min="2" max="2"/>
    <col width="13" customWidth="1" min="3" max="3"/>
    <col width="10" customWidth="1" min="4" max="4"/>
    <col width="11" customWidth="1" min="5" max="5"/>
    <col width="11" customWidth="1" min="6" max="6"/>
    <col width="11" customWidth="1" min="7" max="7"/>
    <col width="13" customWidth="1" min="8" max="8"/>
    <col width="11" customWidth="1" min="9" max="9"/>
    <col width="13" customWidth="1" min="10" max="10"/>
    <col width="13" customWidth="1" min="11" max="11"/>
    <col width="14" customWidth="1" min="12" max="12"/>
    <col hidden="1" width="4" customWidth="1" min="13" max="13"/>
  </cols>
  <sheetData>
    <row r="1">
      <c r="A1" s="1" t="n"/>
      <c r="B1" s="1" t="n"/>
      <c r="C1" s="1" t="n"/>
      <c r="D1" s="1" t="n"/>
      <c r="E1" s="1" t="n"/>
      <c r="F1" s="1" t="n"/>
      <c r="G1" s="1" t="n"/>
      <c r="H1" s="1" t="n"/>
      <c r="I1" s="1" t="n"/>
      <c r="J1" s="1" t="n"/>
      <c r="K1" s="1" t="n"/>
      <c r="L1" s="1" t="n"/>
      <c r="M1" s="1" t="n"/>
      <c r="N1" s="1" t="n"/>
    </row>
    <row r="2" ht="30" customHeight="1">
      <c r="A2" s="1" t="n"/>
      <c r="B2" s="44" t="inlineStr">
        <is>
          <t>Free Trials</t>
        </is>
      </c>
      <c r="C2" s="1" t="n"/>
      <c r="D2" s="1" t="n"/>
      <c r="E2" s="1" t="n"/>
      <c r="F2" s="1" t="n"/>
      <c r="G2" s="1" t="n"/>
      <c r="H2" s="43" t="inlineStr">
        <is>
          <t>GOLD headers: you fill in   ·   BERRY headers: calculated for you</t>
        </is>
      </c>
      <c r="I2" s="1" t="n"/>
      <c r="J2" s="1" t="n"/>
      <c r="K2" s="1" t="n"/>
      <c r="L2" s="1" t="n"/>
      <c r="M2" s="1" t="n"/>
      <c r="N2" s="1" t="n"/>
    </row>
    <row r="3">
      <c r="A3" s="1" t="n"/>
      <c r="B3" s="58">
        <f>COUNT('Free Trials'!$M$6:$M$25)&amp;" open trials   ·   "&amp;TEXT(SUMIFS('Free Trials'!$K$6:$K$25,'Free Trials'!$G$6:$G$25,"&lt;&gt;Yes"),"$#,##0")&amp;" a year if you keep them all   ·   cancelled so far saves "&amp;TEXT(SUMIFS('Free Trials'!$K$6:$K$25,'Free Trials'!$G$6:$G$25,"Yes"),"$#,##0")&amp;" a year"</f>
        <v/>
      </c>
      <c r="C3" s="1" t="n"/>
      <c r="D3" s="1" t="n"/>
      <c r="E3" s="1" t="n"/>
      <c r="F3" s="1" t="n"/>
      <c r="G3" s="1" t="n"/>
      <c r="H3" s="1" t="n"/>
      <c r="I3" s="1" t="n"/>
      <c r="J3" s="1" t="n"/>
      <c r="K3" s="1" t="n"/>
      <c r="L3" s="1" t="n"/>
      <c r="M3" s="1" t="n"/>
      <c r="N3" s="1" t="n"/>
    </row>
    <row r="4" ht="40" customHeight="1">
      <c r="A4" s="1" t="n"/>
      <c r="B4" s="1" t="n"/>
      <c r="C4" s="1" t="n"/>
      <c r="D4" s="1" t="n"/>
      <c r="E4" s="1" t="n"/>
      <c r="F4" s="1" t="n"/>
      <c r="G4" s="1" t="n"/>
      <c r="H4" s="1" t="n"/>
      <c r="I4" s="1" t="n"/>
      <c r="J4" s="1" t="n"/>
      <c r="K4" s="1" t="n"/>
      <c r="L4" s="1" t="n"/>
      <c r="M4" s="1" t="n"/>
      <c r="N4" s="1" t="n"/>
    </row>
    <row r="5" ht="34" customHeight="1">
      <c r="A5" s="1" t="n"/>
      <c r="B5" s="27" t="inlineStr">
        <is>
          <t>SERVICE</t>
        </is>
      </c>
      <c r="C5" s="27" t="inlineStr">
        <is>
          <t>STARTED</t>
        </is>
      </c>
      <c r="D5" s="27" t="inlineStr">
        <is>
          <t>TRIAL DAYS</t>
        </is>
      </c>
      <c r="E5" s="27" t="inlineStr">
        <is>
          <t>THEN COSTS</t>
        </is>
      </c>
      <c r="F5" s="27" t="inlineStr">
        <is>
          <t>BILLING</t>
        </is>
      </c>
      <c r="G5" s="27" t="inlineStr">
        <is>
          <t>CANCELLED?</t>
        </is>
      </c>
      <c r="H5" s="19" t="inlineStr">
        <is>
          <t>CANCEL BY</t>
        </is>
      </c>
      <c r="I5" s="19" t="inlineStr">
        <is>
          <t>DAYS LEFT</t>
        </is>
      </c>
      <c r="J5" s="19" t="inlineStr">
        <is>
          <t>FIRST CHARGE</t>
        </is>
      </c>
      <c r="K5" s="19" t="inlineStr">
        <is>
          <t>YEARLY COST IF KEPT</t>
        </is>
      </c>
      <c r="L5" s="19" t="inlineStr">
        <is>
          <t>ALERT</t>
        </is>
      </c>
      <c r="M5" s="1" t="inlineStr">
        <is>
          <t>key</t>
        </is>
      </c>
      <c r="N5" s="1" t="n"/>
    </row>
    <row r="6" ht="22" customHeight="1">
      <c r="A6" s="1" t="n"/>
      <c r="B6" s="56" t="inlineStr">
        <is>
          <t>Streaming service</t>
        </is>
      </c>
      <c r="C6" s="64" t="n">
        <v>46353</v>
      </c>
      <c r="D6" s="63" t="n">
        <v>30</v>
      </c>
      <c r="E6" s="60" t="n">
        <v>15.99</v>
      </c>
      <c r="F6" s="59" t="inlineStr">
        <is>
          <t>Monthly</t>
        </is>
      </c>
      <c r="G6" s="59" t="inlineStr">
        <is>
          <t>No</t>
        </is>
      </c>
      <c r="H6" s="66">
        <f>IF(AND($B6&lt;&gt;"",ISNUMBER($C6),N($D6)&gt;0),$C6+$D6-1,"")</f>
        <v/>
      </c>
      <c r="I6" s="29">
        <f>IF(ISNUMBER($H6),$H6-Settings!$C$11,"")</f>
        <v/>
      </c>
      <c r="J6" s="66">
        <f>IF(AND($B6&lt;&gt;"",ISNUMBER($C6),N($D6)&gt;0),$C6+$D6,"")</f>
        <v/>
      </c>
      <c r="K6" s="21">
        <f>IF(AND(AND($B6&lt;&gt;"",ISNUMBER($C6),N($D6)&gt;0),ISNUMBER($E6)),$E6*IF($F6="Weekly",52,IF($F6="Yearly",1,12)),"")</f>
        <v/>
      </c>
      <c r="L6" s="33">
        <f>IF(NOT(AND($B6&lt;&gt;"",ISNUMBER($C6),N($D6)&gt;0)),"",IF($G6="Yes","Cancelled",IF($I6&lt;0,"Trial ended",IF($I6&lt;=Settings!$C$10,"Cancel soon?","OK"))))</f>
        <v/>
      </c>
      <c r="M6" s="1">
        <f>IF(AND(ISNUMBER($I6),N($I6)&gt;=0,$G6&lt;&gt;"Yes"),$I6+ROW()/1000,"")</f>
        <v/>
      </c>
      <c r="N6" s="1" t="n"/>
    </row>
    <row r="7" ht="22" customHeight="1">
      <c r="A7" s="1" t="n"/>
      <c r="B7" s="57" t="inlineStr">
        <is>
          <t>Music app</t>
        </is>
      </c>
      <c r="C7" s="69" t="n">
        <v>46354</v>
      </c>
      <c r="D7" s="68" t="n">
        <v>90</v>
      </c>
      <c r="E7" s="62" t="n">
        <v>10.99</v>
      </c>
      <c r="F7" s="61" t="inlineStr">
        <is>
          <t>Monthly</t>
        </is>
      </c>
      <c r="G7" s="61" t="inlineStr">
        <is>
          <t>No</t>
        </is>
      </c>
      <c r="H7" s="71">
        <f>IF(AND($B7&lt;&gt;"",ISNUMBER($C7),N($D7)&gt;0),$C7+$D7-1,"")</f>
        <v/>
      </c>
      <c r="I7" s="31">
        <f>IF(ISNUMBER($H7),$H7-Settings!$C$11,"")</f>
        <v/>
      </c>
      <c r="J7" s="71">
        <f>IF(AND($B7&lt;&gt;"",ISNUMBER($C7),N($D7)&gt;0),$C7+$D7,"")</f>
        <v/>
      </c>
      <c r="K7" s="24">
        <f>IF(AND(AND($B7&lt;&gt;"",ISNUMBER($C7),N($D7)&gt;0),ISNUMBER($E7)),$E7*IF($F7="Weekly",52,IF($F7="Yearly",1,12)),"")</f>
        <v/>
      </c>
      <c r="L7" s="35">
        <f>IF(NOT(AND($B7&lt;&gt;"",ISNUMBER($C7),N($D7)&gt;0)),"",IF($G7="Yes","Cancelled",IF($I7&lt;0,"Trial ended",IF($I7&lt;=Settings!$C$10,"Cancel soon?","OK"))))</f>
        <v/>
      </c>
      <c r="M7" s="1">
        <f>IF(AND(ISNUMBER($I7),N($I7)&gt;=0,$G7&lt;&gt;"Yes"),$I7+ROW()/1000,"")</f>
        <v/>
      </c>
      <c r="N7" s="1" t="n"/>
    </row>
    <row r="8" ht="22" customHeight="1">
      <c r="A8" s="1" t="n"/>
      <c r="B8" s="56" t="inlineStr">
        <is>
          <t>Shipping membership</t>
        </is>
      </c>
      <c r="C8" s="64" t="n">
        <v>46346</v>
      </c>
      <c r="D8" s="63" t="n">
        <v>30</v>
      </c>
      <c r="E8" s="60" t="n">
        <v>14.99</v>
      </c>
      <c r="F8" s="59" t="inlineStr">
        <is>
          <t>Monthly</t>
        </is>
      </c>
      <c r="G8" s="59" t="inlineStr">
        <is>
          <t>No</t>
        </is>
      </c>
      <c r="H8" s="66">
        <f>IF(AND($B8&lt;&gt;"",ISNUMBER($C8),N($D8)&gt;0),$C8+$D8-1,"")</f>
        <v/>
      </c>
      <c r="I8" s="29">
        <f>IF(ISNUMBER($H8),$H8-Settings!$C$11,"")</f>
        <v/>
      </c>
      <c r="J8" s="66">
        <f>IF(AND($B8&lt;&gt;"",ISNUMBER($C8),N($D8)&gt;0),$C8+$D8,"")</f>
        <v/>
      </c>
      <c r="K8" s="21">
        <f>IF(AND(AND($B8&lt;&gt;"",ISNUMBER($C8),N($D8)&gt;0),ISNUMBER($E8)),$E8*IF($F8="Weekly",52,IF($F8="Yearly",1,12)),"")</f>
        <v/>
      </c>
      <c r="L8" s="33">
        <f>IF(NOT(AND($B8&lt;&gt;"",ISNUMBER($C8),N($D8)&gt;0)),"",IF($G8="Yes","Cancelled",IF($I8&lt;0,"Trial ended",IF($I8&lt;=Settings!$C$10,"Cancel soon?","OK"))))</f>
        <v/>
      </c>
      <c r="M8" s="1">
        <f>IF(AND(ISNUMBER($I8),N($I8)&gt;=0,$G8&lt;&gt;"Yes"),$I8+ROW()/1000,"")</f>
        <v/>
      </c>
      <c r="N8" s="1" t="n"/>
    </row>
    <row r="9" ht="22" customHeight="1">
      <c r="A9" s="1" t="n"/>
      <c r="B9" s="57" t="inlineStr">
        <is>
          <t>Photo editor</t>
        </is>
      </c>
      <c r="C9" s="69" t="n">
        <v>46353</v>
      </c>
      <c r="D9" s="68" t="n">
        <v>14</v>
      </c>
      <c r="E9" s="62" t="n">
        <v>9.99</v>
      </c>
      <c r="F9" s="61" t="inlineStr">
        <is>
          <t>Monthly</t>
        </is>
      </c>
      <c r="G9" s="61" t="inlineStr">
        <is>
          <t>Yes</t>
        </is>
      </c>
      <c r="H9" s="71">
        <f>IF(AND($B9&lt;&gt;"",ISNUMBER($C9),N($D9)&gt;0),$C9+$D9-1,"")</f>
        <v/>
      </c>
      <c r="I9" s="31">
        <f>IF(ISNUMBER($H9),$H9-Settings!$C$11,"")</f>
        <v/>
      </c>
      <c r="J9" s="71">
        <f>IF(AND($B9&lt;&gt;"",ISNUMBER($C9),N($D9)&gt;0),$C9+$D9,"")</f>
        <v/>
      </c>
      <c r="K9" s="24">
        <f>IF(AND(AND($B9&lt;&gt;"",ISNUMBER($C9),N($D9)&gt;0),ISNUMBER($E9)),$E9*IF($F9="Weekly",52,IF($F9="Yearly",1,12)),"")</f>
        <v/>
      </c>
      <c r="L9" s="35">
        <f>IF(NOT(AND($B9&lt;&gt;"",ISNUMBER($C9),N($D9)&gt;0)),"",IF($G9="Yes","Cancelled",IF($I9&lt;0,"Trial ended",IF($I9&lt;=Settings!$C$10,"Cancel soon?","OK"))))</f>
        <v/>
      </c>
      <c r="M9" s="1">
        <f>IF(AND(ISNUMBER($I9),N($I9)&gt;=0,$G9&lt;&gt;"Yes"),$I9+ROW()/1000,"")</f>
        <v/>
      </c>
      <c r="N9" s="1" t="n"/>
    </row>
    <row r="10" ht="22" customHeight="1">
      <c r="A10" s="1" t="n"/>
      <c r="B10" s="56" t="inlineStr">
        <is>
          <t>Fitness app</t>
        </is>
      </c>
      <c r="C10" s="64" t="n">
        <v>46382</v>
      </c>
      <c r="D10" s="63" t="n">
        <v>7</v>
      </c>
      <c r="E10" s="60" t="n">
        <v>79.98999999999999</v>
      </c>
      <c r="F10" s="59" t="inlineStr">
        <is>
          <t>Yearly</t>
        </is>
      </c>
      <c r="G10" s="59" t="inlineStr">
        <is>
          <t>No</t>
        </is>
      </c>
      <c r="H10" s="66">
        <f>IF(AND($B10&lt;&gt;"",ISNUMBER($C10),N($D10)&gt;0),$C10+$D10-1,"")</f>
        <v/>
      </c>
      <c r="I10" s="29">
        <f>IF(ISNUMBER($H10),$H10-Settings!$C$11,"")</f>
        <v/>
      </c>
      <c r="J10" s="66">
        <f>IF(AND($B10&lt;&gt;"",ISNUMBER($C10),N($D10)&gt;0),$C10+$D10,"")</f>
        <v/>
      </c>
      <c r="K10" s="21">
        <f>IF(AND(AND($B10&lt;&gt;"",ISNUMBER($C10),N($D10)&gt;0),ISNUMBER($E10)),$E10*IF($F10="Weekly",52,IF($F10="Yearly",1,12)),"")</f>
        <v/>
      </c>
      <c r="L10" s="33">
        <f>IF(NOT(AND($B10&lt;&gt;"",ISNUMBER($C10),N($D10)&gt;0)),"",IF($G10="Yes","Cancelled",IF($I10&lt;0,"Trial ended",IF($I10&lt;=Settings!$C$10,"Cancel soon?","OK"))))</f>
        <v/>
      </c>
      <c r="M10" s="1">
        <f>IF(AND(ISNUMBER($I10),N($I10)&gt;=0,$G10&lt;&gt;"Yes"),$I10+ROW()/1000,"")</f>
        <v/>
      </c>
      <c r="N10" s="1" t="n"/>
    </row>
    <row r="11" ht="22" customHeight="1">
      <c r="A11" s="1" t="n"/>
      <c r="B11" s="57" t="n"/>
      <c r="C11" s="69" t="n"/>
      <c r="D11" s="68" t="n"/>
      <c r="E11" s="62" t="n"/>
      <c r="F11" s="61" t="n"/>
      <c r="G11" s="61" t="n"/>
      <c r="H11" s="71">
        <f>IF(AND($B11&lt;&gt;"",ISNUMBER($C11),N($D11)&gt;0),$C11+$D11-1,"")</f>
        <v/>
      </c>
      <c r="I11" s="31">
        <f>IF(ISNUMBER($H11),$H11-Settings!$C$11,"")</f>
        <v/>
      </c>
      <c r="J11" s="71">
        <f>IF(AND($B11&lt;&gt;"",ISNUMBER($C11),N($D11)&gt;0),$C11+$D11,"")</f>
        <v/>
      </c>
      <c r="K11" s="24">
        <f>IF(AND(AND($B11&lt;&gt;"",ISNUMBER($C11),N($D11)&gt;0),ISNUMBER($E11)),$E11*IF($F11="Weekly",52,IF($F11="Yearly",1,12)),"")</f>
        <v/>
      </c>
      <c r="L11" s="35">
        <f>IF(NOT(AND($B11&lt;&gt;"",ISNUMBER($C11),N($D11)&gt;0)),"",IF($G11="Yes","Cancelled",IF($I11&lt;0,"Trial ended",IF($I11&lt;=Settings!$C$10,"Cancel soon?","OK"))))</f>
        <v/>
      </c>
      <c r="M11" s="1">
        <f>IF(AND(ISNUMBER($I11),N($I11)&gt;=0,$G11&lt;&gt;"Yes"),$I11+ROW()/1000,"")</f>
        <v/>
      </c>
      <c r="N11" s="1" t="n"/>
    </row>
    <row r="12" ht="22" customHeight="1">
      <c r="A12" s="1" t="n"/>
      <c r="B12" s="56" t="n"/>
      <c r="C12" s="64" t="n"/>
      <c r="D12" s="63" t="n"/>
      <c r="E12" s="60" t="n"/>
      <c r="F12" s="59" t="n"/>
      <c r="G12" s="59" t="n"/>
      <c r="H12" s="66">
        <f>IF(AND($B12&lt;&gt;"",ISNUMBER($C12),N($D12)&gt;0),$C12+$D12-1,"")</f>
        <v/>
      </c>
      <c r="I12" s="29">
        <f>IF(ISNUMBER($H12),$H12-Settings!$C$11,"")</f>
        <v/>
      </c>
      <c r="J12" s="66">
        <f>IF(AND($B12&lt;&gt;"",ISNUMBER($C12),N($D12)&gt;0),$C12+$D12,"")</f>
        <v/>
      </c>
      <c r="K12" s="21">
        <f>IF(AND(AND($B12&lt;&gt;"",ISNUMBER($C12),N($D12)&gt;0),ISNUMBER($E12)),$E12*IF($F12="Weekly",52,IF($F12="Yearly",1,12)),"")</f>
        <v/>
      </c>
      <c r="L12" s="33">
        <f>IF(NOT(AND($B12&lt;&gt;"",ISNUMBER($C12),N($D12)&gt;0)),"",IF($G12="Yes","Cancelled",IF($I12&lt;0,"Trial ended",IF($I12&lt;=Settings!$C$10,"Cancel soon?","OK"))))</f>
        <v/>
      </c>
      <c r="M12" s="1">
        <f>IF(AND(ISNUMBER($I12),N($I12)&gt;=0,$G12&lt;&gt;"Yes"),$I12+ROW()/1000,"")</f>
        <v/>
      </c>
      <c r="N12" s="1" t="n"/>
    </row>
    <row r="13" ht="22" customHeight="1">
      <c r="A13" s="1" t="n"/>
      <c r="B13" s="57" t="n"/>
      <c r="C13" s="69" t="n"/>
      <c r="D13" s="68" t="n"/>
      <c r="E13" s="62" t="n"/>
      <c r="F13" s="61" t="n"/>
      <c r="G13" s="61" t="n"/>
      <c r="H13" s="71">
        <f>IF(AND($B13&lt;&gt;"",ISNUMBER($C13),N($D13)&gt;0),$C13+$D13-1,"")</f>
        <v/>
      </c>
      <c r="I13" s="31">
        <f>IF(ISNUMBER($H13),$H13-Settings!$C$11,"")</f>
        <v/>
      </c>
      <c r="J13" s="71">
        <f>IF(AND($B13&lt;&gt;"",ISNUMBER($C13),N($D13)&gt;0),$C13+$D13,"")</f>
        <v/>
      </c>
      <c r="K13" s="24">
        <f>IF(AND(AND($B13&lt;&gt;"",ISNUMBER($C13),N($D13)&gt;0),ISNUMBER($E13)),$E13*IF($F13="Weekly",52,IF($F13="Yearly",1,12)),"")</f>
        <v/>
      </c>
      <c r="L13" s="35">
        <f>IF(NOT(AND($B13&lt;&gt;"",ISNUMBER($C13),N($D13)&gt;0)),"",IF($G13="Yes","Cancelled",IF($I13&lt;0,"Trial ended",IF($I13&lt;=Settings!$C$10,"Cancel soon?","OK"))))</f>
        <v/>
      </c>
      <c r="M13" s="1">
        <f>IF(AND(ISNUMBER($I13),N($I13)&gt;=0,$G13&lt;&gt;"Yes"),$I13+ROW()/1000,"")</f>
        <v/>
      </c>
      <c r="N13" s="1" t="n"/>
    </row>
    <row r="14" ht="22" customHeight="1">
      <c r="A14" s="1" t="n"/>
      <c r="B14" s="56" t="n"/>
      <c r="C14" s="64" t="n"/>
      <c r="D14" s="63" t="n"/>
      <c r="E14" s="60" t="n"/>
      <c r="F14" s="59" t="n"/>
      <c r="G14" s="59" t="n"/>
      <c r="H14" s="66">
        <f>IF(AND($B14&lt;&gt;"",ISNUMBER($C14),N($D14)&gt;0),$C14+$D14-1,"")</f>
        <v/>
      </c>
      <c r="I14" s="29">
        <f>IF(ISNUMBER($H14),$H14-Settings!$C$11,"")</f>
        <v/>
      </c>
      <c r="J14" s="66">
        <f>IF(AND($B14&lt;&gt;"",ISNUMBER($C14),N($D14)&gt;0),$C14+$D14,"")</f>
        <v/>
      </c>
      <c r="K14" s="21">
        <f>IF(AND(AND($B14&lt;&gt;"",ISNUMBER($C14),N($D14)&gt;0),ISNUMBER($E14)),$E14*IF($F14="Weekly",52,IF($F14="Yearly",1,12)),"")</f>
        <v/>
      </c>
      <c r="L14" s="33">
        <f>IF(NOT(AND($B14&lt;&gt;"",ISNUMBER($C14),N($D14)&gt;0)),"",IF($G14="Yes","Cancelled",IF($I14&lt;0,"Trial ended",IF($I14&lt;=Settings!$C$10,"Cancel soon?","OK"))))</f>
        <v/>
      </c>
      <c r="M14" s="1">
        <f>IF(AND(ISNUMBER($I14),N($I14)&gt;=0,$G14&lt;&gt;"Yes"),$I14+ROW()/1000,"")</f>
        <v/>
      </c>
      <c r="N14" s="1" t="n"/>
    </row>
    <row r="15" ht="22" customHeight="1">
      <c r="A15" s="1" t="n"/>
      <c r="B15" s="57" t="n"/>
      <c r="C15" s="69" t="n"/>
      <c r="D15" s="68" t="n"/>
      <c r="E15" s="62" t="n"/>
      <c r="F15" s="61" t="n"/>
      <c r="G15" s="61" t="n"/>
      <c r="H15" s="71">
        <f>IF(AND($B15&lt;&gt;"",ISNUMBER($C15),N($D15)&gt;0),$C15+$D15-1,"")</f>
        <v/>
      </c>
      <c r="I15" s="31">
        <f>IF(ISNUMBER($H15),$H15-Settings!$C$11,"")</f>
        <v/>
      </c>
      <c r="J15" s="71">
        <f>IF(AND($B15&lt;&gt;"",ISNUMBER($C15),N($D15)&gt;0),$C15+$D15,"")</f>
        <v/>
      </c>
      <c r="K15" s="24">
        <f>IF(AND(AND($B15&lt;&gt;"",ISNUMBER($C15),N($D15)&gt;0),ISNUMBER($E15)),$E15*IF($F15="Weekly",52,IF($F15="Yearly",1,12)),"")</f>
        <v/>
      </c>
      <c r="L15" s="35">
        <f>IF(NOT(AND($B15&lt;&gt;"",ISNUMBER($C15),N($D15)&gt;0)),"",IF($G15="Yes","Cancelled",IF($I15&lt;0,"Trial ended",IF($I15&lt;=Settings!$C$10,"Cancel soon?","OK"))))</f>
        <v/>
      </c>
      <c r="M15" s="1">
        <f>IF(AND(ISNUMBER($I15),N($I15)&gt;=0,$G15&lt;&gt;"Yes"),$I15+ROW()/1000,"")</f>
        <v/>
      </c>
      <c r="N15" s="1" t="n"/>
    </row>
    <row r="16" ht="22" customHeight="1">
      <c r="A16" s="1" t="n"/>
      <c r="B16" s="56" t="n"/>
      <c r="C16" s="64" t="n"/>
      <c r="D16" s="63" t="n"/>
      <c r="E16" s="60" t="n"/>
      <c r="F16" s="59" t="n"/>
      <c r="G16" s="59" t="n"/>
      <c r="H16" s="66">
        <f>IF(AND($B16&lt;&gt;"",ISNUMBER($C16),N($D16)&gt;0),$C16+$D16-1,"")</f>
        <v/>
      </c>
      <c r="I16" s="29">
        <f>IF(ISNUMBER($H16),$H16-Settings!$C$11,"")</f>
        <v/>
      </c>
      <c r="J16" s="66">
        <f>IF(AND($B16&lt;&gt;"",ISNUMBER($C16),N($D16)&gt;0),$C16+$D16,"")</f>
        <v/>
      </c>
      <c r="K16" s="21">
        <f>IF(AND(AND($B16&lt;&gt;"",ISNUMBER($C16),N($D16)&gt;0),ISNUMBER($E16)),$E16*IF($F16="Weekly",52,IF($F16="Yearly",1,12)),"")</f>
        <v/>
      </c>
      <c r="L16" s="33">
        <f>IF(NOT(AND($B16&lt;&gt;"",ISNUMBER($C16),N($D16)&gt;0)),"",IF($G16="Yes","Cancelled",IF($I16&lt;0,"Trial ended",IF($I16&lt;=Settings!$C$10,"Cancel soon?","OK"))))</f>
        <v/>
      </c>
      <c r="M16" s="1">
        <f>IF(AND(ISNUMBER($I16),N($I16)&gt;=0,$G16&lt;&gt;"Yes"),$I16+ROW()/1000,"")</f>
        <v/>
      </c>
      <c r="N16" s="1" t="n"/>
    </row>
    <row r="17" ht="22" customHeight="1">
      <c r="A17" s="1" t="n"/>
      <c r="B17" s="57" t="n"/>
      <c r="C17" s="69" t="n"/>
      <c r="D17" s="68" t="n"/>
      <c r="E17" s="62" t="n"/>
      <c r="F17" s="61" t="n"/>
      <c r="G17" s="61" t="n"/>
      <c r="H17" s="71">
        <f>IF(AND($B17&lt;&gt;"",ISNUMBER($C17),N($D17)&gt;0),$C17+$D17-1,"")</f>
        <v/>
      </c>
      <c r="I17" s="31">
        <f>IF(ISNUMBER($H17),$H17-Settings!$C$11,"")</f>
        <v/>
      </c>
      <c r="J17" s="71">
        <f>IF(AND($B17&lt;&gt;"",ISNUMBER($C17),N($D17)&gt;0),$C17+$D17,"")</f>
        <v/>
      </c>
      <c r="K17" s="24">
        <f>IF(AND(AND($B17&lt;&gt;"",ISNUMBER($C17),N($D17)&gt;0),ISNUMBER($E17)),$E17*IF($F17="Weekly",52,IF($F17="Yearly",1,12)),"")</f>
        <v/>
      </c>
      <c r="L17" s="35">
        <f>IF(NOT(AND($B17&lt;&gt;"",ISNUMBER($C17),N($D17)&gt;0)),"",IF($G17="Yes","Cancelled",IF($I17&lt;0,"Trial ended",IF($I17&lt;=Settings!$C$10,"Cancel soon?","OK"))))</f>
        <v/>
      </c>
      <c r="M17" s="1">
        <f>IF(AND(ISNUMBER($I17),N($I17)&gt;=0,$G17&lt;&gt;"Yes"),$I17+ROW()/1000,"")</f>
        <v/>
      </c>
      <c r="N17" s="1" t="n"/>
    </row>
    <row r="18" ht="22" customHeight="1">
      <c r="A18" s="1" t="n"/>
      <c r="B18" s="56" t="n"/>
      <c r="C18" s="64" t="n"/>
      <c r="D18" s="63" t="n"/>
      <c r="E18" s="60" t="n"/>
      <c r="F18" s="59" t="n"/>
      <c r="G18" s="59" t="n"/>
      <c r="H18" s="66">
        <f>IF(AND($B18&lt;&gt;"",ISNUMBER($C18),N($D18)&gt;0),$C18+$D18-1,"")</f>
        <v/>
      </c>
      <c r="I18" s="29">
        <f>IF(ISNUMBER($H18),$H18-Settings!$C$11,"")</f>
        <v/>
      </c>
      <c r="J18" s="66">
        <f>IF(AND($B18&lt;&gt;"",ISNUMBER($C18),N($D18)&gt;0),$C18+$D18,"")</f>
        <v/>
      </c>
      <c r="K18" s="21">
        <f>IF(AND(AND($B18&lt;&gt;"",ISNUMBER($C18),N($D18)&gt;0),ISNUMBER($E18)),$E18*IF($F18="Weekly",52,IF($F18="Yearly",1,12)),"")</f>
        <v/>
      </c>
      <c r="L18" s="33">
        <f>IF(NOT(AND($B18&lt;&gt;"",ISNUMBER($C18),N($D18)&gt;0)),"",IF($G18="Yes","Cancelled",IF($I18&lt;0,"Trial ended",IF($I18&lt;=Settings!$C$10,"Cancel soon?","OK"))))</f>
        <v/>
      </c>
      <c r="M18" s="1">
        <f>IF(AND(ISNUMBER($I18),N($I18)&gt;=0,$G18&lt;&gt;"Yes"),$I18+ROW()/1000,"")</f>
        <v/>
      </c>
      <c r="N18" s="1" t="n"/>
    </row>
    <row r="19" ht="22" customHeight="1">
      <c r="A19" s="1" t="n"/>
      <c r="B19" s="57" t="n"/>
      <c r="C19" s="69" t="n"/>
      <c r="D19" s="68" t="n"/>
      <c r="E19" s="62" t="n"/>
      <c r="F19" s="61" t="n"/>
      <c r="G19" s="61" t="n"/>
      <c r="H19" s="71">
        <f>IF(AND($B19&lt;&gt;"",ISNUMBER($C19),N($D19)&gt;0),$C19+$D19-1,"")</f>
        <v/>
      </c>
      <c r="I19" s="31">
        <f>IF(ISNUMBER($H19),$H19-Settings!$C$11,"")</f>
        <v/>
      </c>
      <c r="J19" s="71">
        <f>IF(AND($B19&lt;&gt;"",ISNUMBER($C19),N($D19)&gt;0),$C19+$D19,"")</f>
        <v/>
      </c>
      <c r="K19" s="24">
        <f>IF(AND(AND($B19&lt;&gt;"",ISNUMBER($C19),N($D19)&gt;0),ISNUMBER($E19)),$E19*IF($F19="Weekly",52,IF($F19="Yearly",1,12)),"")</f>
        <v/>
      </c>
      <c r="L19" s="35">
        <f>IF(NOT(AND($B19&lt;&gt;"",ISNUMBER($C19),N($D19)&gt;0)),"",IF($G19="Yes","Cancelled",IF($I19&lt;0,"Trial ended",IF($I19&lt;=Settings!$C$10,"Cancel soon?","OK"))))</f>
        <v/>
      </c>
      <c r="M19" s="1">
        <f>IF(AND(ISNUMBER($I19),N($I19)&gt;=0,$G19&lt;&gt;"Yes"),$I19+ROW()/1000,"")</f>
        <v/>
      </c>
      <c r="N19" s="1" t="n"/>
    </row>
    <row r="20" ht="22" customHeight="1">
      <c r="A20" s="1" t="n"/>
      <c r="B20" s="56" t="n"/>
      <c r="C20" s="64" t="n"/>
      <c r="D20" s="63" t="n"/>
      <c r="E20" s="60" t="n"/>
      <c r="F20" s="59" t="n"/>
      <c r="G20" s="59" t="n"/>
      <c r="H20" s="66">
        <f>IF(AND($B20&lt;&gt;"",ISNUMBER($C20),N($D20)&gt;0),$C20+$D20-1,"")</f>
        <v/>
      </c>
      <c r="I20" s="29">
        <f>IF(ISNUMBER($H20),$H20-Settings!$C$11,"")</f>
        <v/>
      </c>
      <c r="J20" s="66">
        <f>IF(AND($B20&lt;&gt;"",ISNUMBER($C20),N($D20)&gt;0),$C20+$D20,"")</f>
        <v/>
      </c>
      <c r="K20" s="21">
        <f>IF(AND(AND($B20&lt;&gt;"",ISNUMBER($C20),N($D20)&gt;0),ISNUMBER($E20)),$E20*IF($F20="Weekly",52,IF($F20="Yearly",1,12)),"")</f>
        <v/>
      </c>
      <c r="L20" s="33">
        <f>IF(NOT(AND($B20&lt;&gt;"",ISNUMBER($C20),N($D20)&gt;0)),"",IF($G20="Yes","Cancelled",IF($I20&lt;0,"Trial ended",IF($I20&lt;=Settings!$C$10,"Cancel soon?","OK"))))</f>
        <v/>
      </c>
      <c r="M20" s="1">
        <f>IF(AND(ISNUMBER($I20),N($I20)&gt;=0,$G20&lt;&gt;"Yes"),$I20+ROW()/1000,"")</f>
        <v/>
      </c>
      <c r="N20" s="1" t="n"/>
    </row>
    <row r="21" ht="22" customHeight="1">
      <c r="A21" s="1" t="n"/>
      <c r="B21" s="57" t="n"/>
      <c r="C21" s="69" t="n"/>
      <c r="D21" s="68" t="n"/>
      <c r="E21" s="62" t="n"/>
      <c r="F21" s="61" t="n"/>
      <c r="G21" s="61" t="n"/>
      <c r="H21" s="71">
        <f>IF(AND($B21&lt;&gt;"",ISNUMBER($C21),N($D21)&gt;0),$C21+$D21-1,"")</f>
        <v/>
      </c>
      <c r="I21" s="31">
        <f>IF(ISNUMBER($H21),$H21-Settings!$C$11,"")</f>
        <v/>
      </c>
      <c r="J21" s="71">
        <f>IF(AND($B21&lt;&gt;"",ISNUMBER($C21),N($D21)&gt;0),$C21+$D21,"")</f>
        <v/>
      </c>
      <c r="K21" s="24">
        <f>IF(AND(AND($B21&lt;&gt;"",ISNUMBER($C21),N($D21)&gt;0),ISNUMBER($E21)),$E21*IF($F21="Weekly",52,IF($F21="Yearly",1,12)),"")</f>
        <v/>
      </c>
      <c r="L21" s="35">
        <f>IF(NOT(AND($B21&lt;&gt;"",ISNUMBER($C21),N($D21)&gt;0)),"",IF($G21="Yes","Cancelled",IF($I21&lt;0,"Trial ended",IF($I21&lt;=Settings!$C$10,"Cancel soon?","OK"))))</f>
        <v/>
      </c>
      <c r="M21" s="1">
        <f>IF(AND(ISNUMBER($I21),N($I21)&gt;=0,$G21&lt;&gt;"Yes"),$I21+ROW()/1000,"")</f>
        <v/>
      </c>
      <c r="N21" s="1" t="n"/>
    </row>
    <row r="22" ht="22" customHeight="1">
      <c r="A22" s="1" t="n"/>
      <c r="B22" s="56" t="n"/>
      <c r="C22" s="64" t="n"/>
      <c r="D22" s="63" t="n"/>
      <c r="E22" s="60" t="n"/>
      <c r="F22" s="59" t="n"/>
      <c r="G22" s="59" t="n"/>
      <c r="H22" s="66">
        <f>IF(AND($B22&lt;&gt;"",ISNUMBER($C22),N($D22)&gt;0),$C22+$D22-1,"")</f>
        <v/>
      </c>
      <c r="I22" s="29">
        <f>IF(ISNUMBER($H22),$H22-Settings!$C$11,"")</f>
        <v/>
      </c>
      <c r="J22" s="66">
        <f>IF(AND($B22&lt;&gt;"",ISNUMBER($C22),N($D22)&gt;0),$C22+$D22,"")</f>
        <v/>
      </c>
      <c r="K22" s="21">
        <f>IF(AND(AND($B22&lt;&gt;"",ISNUMBER($C22),N($D22)&gt;0),ISNUMBER($E22)),$E22*IF($F22="Weekly",52,IF($F22="Yearly",1,12)),"")</f>
        <v/>
      </c>
      <c r="L22" s="33">
        <f>IF(NOT(AND($B22&lt;&gt;"",ISNUMBER($C22),N($D22)&gt;0)),"",IF($G22="Yes","Cancelled",IF($I22&lt;0,"Trial ended",IF($I22&lt;=Settings!$C$10,"Cancel soon?","OK"))))</f>
        <v/>
      </c>
      <c r="M22" s="1">
        <f>IF(AND(ISNUMBER($I22),N($I22)&gt;=0,$G22&lt;&gt;"Yes"),$I22+ROW()/1000,"")</f>
        <v/>
      </c>
      <c r="N22" s="1" t="n"/>
    </row>
    <row r="23" ht="22" customHeight="1">
      <c r="A23" s="1" t="n"/>
      <c r="B23" s="57" t="n"/>
      <c r="C23" s="69" t="n"/>
      <c r="D23" s="68" t="n"/>
      <c r="E23" s="62" t="n"/>
      <c r="F23" s="61" t="n"/>
      <c r="G23" s="61" t="n"/>
      <c r="H23" s="71">
        <f>IF(AND($B23&lt;&gt;"",ISNUMBER($C23),N($D23)&gt;0),$C23+$D23-1,"")</f>
        <v/>
      </c>
      <c r="I23" s="31">
        <f>IF(ISNUMBER($H23),$H23-Settings!$C$11,"")</f>
        <v/>
      </c>
      <c r="J23" s="71">
        <f>IF(AND($B23&lt;&gt;"",ISNUMBER($C23),N($D23)&gt;0),$C23+$D23,"")</f>
        <v/>
      </c>
      <c r="K23" s="24">
        <f>IF(AND(AND($B23&lt;&gt;"",ISNUMBER($C23),N($D23)&gt;0),ISNUMBER($E23)),$E23*IF($F23="Weekly",52,IF($F23="Yearly",1,12)),"")</f>
        <v/>
      </c>
      <c r="L23" s="35">
        <f>IF(NOT(AND($B23&lt;&gt;"",ISNUMBER($C23),N($D23)&gt;0)),"",IF($G23="Yes","Cancelled",IF($I23&lt;0,"Trial ended",IF($I23&lt;=Settings!$C$10,"Cancel soon?","OK"))))</f>
        <v/>
      </c>
      <c r="M23" s="1">
        <f>IF(AND(ISNUMBER($I23),N($I23)&gt;=0,$G23&lt;&gt;"Yes"),$I23+ROW()/1000,"")</f>
        <v/>
      </c>
      <c r="N23" s="1" t="n"/>
    </row>
    <row r="24" ht="22" customHeight="1">
      <c r="A24" s="1" t="n"/>
      <c r="B24" s="56" t="n"/>
      <c r="C24" s="64" t="n"/>
      <c r="D24" s="63" t="n"/>
      <c r="E24" s="60" t="n"/>
      <c r="F24" s="59" t="n"/>
      <c r="G24" s="59" t="n"/>
      <c r="H24" s="66">
        <f>IF(AND($B24&lt;&gt;"",ISNUMBER($C24),N($D24)&gt;0),$C24+$D24-1,"")</f>
        <v/>
      </c>
      <c r="I24" s="29">
        <f>IF(ISNUMBER($H24),$H24-Settings!$C$11,"")</f>
        <v/>
      </c>
      <c r="J24" s="66">
        <f>IF(AND($B24&lt;&gt;"",ISNUMBER($C24),N($D24)&gt;0),$C24+$D24,"")</f>
        <v/>
      </c>
      <c r="K24" s="21">
        <f>IF(AND(AND($B24&lt;&gt;"",ISNUMBER($C24),N($D24)&gt;0),ISNUMBER($E24)),$E24*IF($F24="Weekly",52,IF($F24="Yearly",1,12)),"")</f>
        <v/>
      </c>
      <c r="L24" s="33">
        <f>IF(NOT(AND($B24&lt;&gt;"",ISNUMBER($C24),N($D24)&gt;0)),"",IF($G24="Yes","Cancelled",IF($I24&lt;0,"Trial ended",IF($I24&lt;=Settings!$C$10,"Cancel soon?","OK"))))</f>
        <v/>
      </c>
      <c r="M24" s="1">
        <f>IF(AND(ISNUMBER($I24),N($I24)&gt;=0,$G24&lt;&gt;"Yes"),$I24+ROW()/1000,"")</f>
        <v/>
      </c>
      <c r="N24" s="1" t="n"/>
    </row>
    <row r="25" ht="22" customHeight="1">
      <c r="A25" s="1" t="n"/>
      <c r="B25" s="57" t="n"/>
      <c r="C25" s="69" t="n"/>
      <c r="D25" s="68" t="n"/>
      <c r="E25" s="62" t="n"/>
      <c r="F25" s="61" t="n"/>
      <c r="G25" s="61" t="n"/>
      <c r="H25" s="71">
        <f>IF(AND($B25&lt;&gt;"",ISNUMBER($C25),N($D25)&gt;0),$C25+$D25-1,"")</f>
        <v/>
      </c>
      <c r="I25" s="31">
        <f>IF(ISNUMBER($H25),$H25-Settings!$C$11,"")</f>
        <v/>
      </c>
      <c r="J25" s="71">
        <f>IF(AND($B25&lt;&gt;"",ISNUMBER($C25),N($D25)&gt;0),$C25+$D25,"")</f>
        <v/>
      </c>
      <c r="K25" s="24">
        <f>IF(AND(AND($B25&lt;&gt;"",ISNUMBER($C25),N($D25)&gt;0),ISNUMBER($E25)),$E25*IF($F25="Weekly",52,IF($F25="Yearly",1,12)),"")</f>
        <v/>
      </c>
      <c r="L25" s="35">
        <f>IF(NOT(AND($B25&lt;&gt;"",ISNUMBER($C25),N($D25)&gt;0)),"",IF($G25="Yes","Cancelled",IF($I25&lt;0,"Trial ended",IF($I25&lt;=Settings!$C$10,"Cancel soon?","OK"))))</f>
        <v/>
      </c>
      <c r="M25" s="1">
        <f>IF(AND(ISNUMBER($I25),N($I25)&gt;=0,$G25&lt;&gt;"Yes"),$I25+ROW()/1000,"")</f>
        <v/>
      </c>
      <c r="N25" s="1" t="n"/>
    </row>
    <row r="26">
      <c r="A26" s="1" t="n"/>
      <c r="B26" s="1" t="n"/>
      <c r="C26" s="1" t="n"/>
      <c r="D26" s="1" t="n"/>
      <c r="E26" s="1" t="n"/>
      <c r="F26" s="1" t="n"/>
      <c r="G26" s="1" t="n"/>
      <c r="H26" s="1" t="n"/>
      <c r="I26" s="1" t="n"/>
      <c r="J26" s="1" t="n"/>
      <c r="K26" s="1" t="n"/>
      <c r="L26" s="1" t="n"/>
      <c r="M26" s="1" t="n"/>
      <c r="N26" s="1" t="n"/>
    </row>
    <row r="27">
      <c r="A27" s="1" t="n"/>
      <c r="B27" s="1" t="n"/>
      <c r="C27" s="1" t="n"/>
      <c r="D27" s="1" t="n"/>
      <c r="E27" s="1" t="n"/>
      <c r="F27" s="1" t="n"/>
      <c r="G27" s="1" t="n"/>
      <c r="H27" s="1" t="n"/>
      <c r="I27" s="1" t="n"/>
      <c r="J27" s="1" t="n"/>
      <c r="K27" s="1" t="n"/>
      <c r="L27" s="1" t="n"/>
      <c r="M27" s="1" t="n"/>
      <c r="N27" s="1" t="n"/>
    </row>
  </sheetData>
  <autoFilter ref="B5:L25"/>
  <conditionalFormatting sqref="F6:F25">
    <cfRule type="cellIs" priority="1" operator="equal" dxfId="1">
      <formula>"Weekly"</formula>
    </cfRule>
    <cfRule type="cellIs" priority="2" operator="equal" dxfId="4">
      <formula>"Monthly"</formula>
    </cfRule>
    <cfRule type="cellIs" priority="3" operator="equal" dxfId="2">
      <formula>"Yearly"</formula>
    </cfRule>
  </conditionalFormatting>
  <conditionalFormatting sqref="G6:G25">
    <cfRule type="cellIs" priority="4" operator="equal" dxfId="3">
      <formula>"Yes"</formula>
    </cfRule>
    <cfRule type="cellIs" priority="5" operator="equal" dxfId="7">
      <formula>"No"</formula>
    </cfRule>
  </conditionalFormatting>
  <conditionalFormatting sqref="L6:L25">
    <cfRule type="cellIs" priority="6" operator="equal" dxfId="1">
      <formula>"Cancel soon?"</formula>
    </cfRule>
    <cfRule type="cellIs" priority="7" operator="equal" dxfId="1">
      <formula>"Trial ended"</formula>
    </cfRule>
    <cfRule type="cellIs" priority="8" operator="equal" dxfId="3">
      <formula>"Cancelled"</formula>
    </cfRule>
    <cfRule type="cellIs" priority="9" operator="equal" dxfId="7">
      <formula>"OK"</formula>
    </cfRule>
  </conditionalFormatting>
  <conditionalFormatting sqref="I6:I25">
    <cfRule type="expression" priority="10" dxfId="1">
      <formula>AND(ISNUMBER($I6),$I6&gt;=0,$I6&lt;=Settings!$C$10)</formula>
    </cfRule>
  </conditionalFormatting>
  <conditionalFormatting sqref="B6:K25">
    <cfRule type="expression" priority="11" dxfId="9">
      <formula>$G6="Yes"</formula>
    </cfRule>
  </conditionalFormatting>
  <dataValidations count="2">
    <dataValidation sqref="F6:F25" showDropDown="0" showInputMessage="0" showErrorMessage="0" allowBlank="1" type="list">
      <formula1>=Settings!$G$14:$G$16</formula1>
    </dataValidation>
    <dataValidation sqref="G6:G25"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0B05A"/>
    <outlinePr summaryBelow="1" summaryRight="1"/>
    <pageSetUpPr/>
  </sheetPr>
  <dimension ref="A1:Q27"/>
  <sheetViews>
    <sheetView showGridLines="0" workbookViewId="0">
      <selection activeCell="A1" sqref="A1"/>
    </sheetView>
  </sheetViews>
  <sheetFormatPr baseColWidth="8" defaultRowHeight="15"/>
  <cols>
    <col width="3" customWidth="1" min="1" max="1"/>
    <col width="22" customWidth="1" min="2" max="2"/>
    <col width="12" customWidth="1" min="3" max="3"/>
    <col width="11" customWidth="1" min="4" max="4"/>
    <col width="11" customWidth="1" min="5" max="5"/>
    <col width="9" customWidth="1" min="6" max="6"/>
    <col width="10" customWidth="1" min="7" max="7"/>
    <col width="15" customWidth="1" min="8" max="8"/>
    <col width="10" customWidth="1" min="9" max="9"/>
    <col width="11" customWidth="1" min="10" max="10"/>
    <col width="10" customWidth="1" min="11" max="11"/>
    <col width="11" customWidth="1" min="12" max="12"/>
    <col width="13" customWidth="1" min="13" max="13"/>
    <col width="12" customWidth="1" min="14" max="14"/>
    <col width="12" customWidth="1" min="15" max="15"/>
    <col width="24" customWidth="1" min="16" max="16"/>
  </cols>
  <sheetData>
    <row r="1">
      <c r="A1" s="1" t="n"/>
      <c r="B1" s="1" t="n"/>
      <c r="C1" s="1" t="n"/>
      <c r="D1" s="1" t="n"/>
      <c r="E1" s="1" t="n"/>
      <c r="F1" s="1" t="n"/>
      <c r="G1" s="1" t="n"/>
      <c r="H1" s="1" t="n"/>
      <c r="I1" s="1" t="n"/>
      <c r="J1" s="1" t="n"/>
      <c r="K1" s="1" t="n"/>
      <c r="L1" s="1" t="n"/>
      <c r="M1" s="1" t="n"/>
      <c r="N1" s="1" t="n"/>
      <c r="O1" s="1" t="n"/>
      <c r="P1" s="1" t="n"/>
      <c r="Q1" s="1" t="n"/>
    </row>
    <row r="2" ht="30" customHeight="1">
      <c r="A2" s="1" t="n"/>
      <c r="B2" s="44" t="inlineStr">
        <is>
          <t>Deal Check</t>
        </is>
      </c>
      <c r="C2" s="1" t="n"/>
      <c r="D2" s="1" t="n"/>
      <c r="E2" s="1" t="n"/>
      <c r="F2" s="1" t="n"/>
      <c r="G2" s="1" t="n"/>
      <c r="H2" s="43" t="inlineStr">
        <is>
          <t>GOLD headers: you fill in   ·   BERRY headers: calculated for you</t>
        </is>
      </c>
      <c r="I2" s="1" t="n"/>
      <c r="J2" s="1" t="n"/>
      <c r="K2" s="1" t="n"/>
      <c r="L2" s="1" t="n"/>
      <c r="M2" s="1" t="n"/>
      <c r="N2" s="1" t="n"/>
      <c r="O2" s="1" t="n"/>
      <c r="P2" s="1" t="n"/>
      <c r="Q2" s="1" t="n"/>
    </row>
    <row r="3">
      <c r="A3" s="1" t="n"/>
      <c r="B3" s="58">
        <f>COUNT('Deal Check'!$M$6:$M$25)&amp;" items checked   ·   "&amp;COUNTIF('Deal Check'!$P$6:$P$25,"Real deal")&amp;" real deals   ·   "&amp;COUNTIF('Deal Check'!$P$6:$P$25,"Not a deal")&amp;" not a deal   ·   plans add "&amp;TEXT(SUM('Deal Check'!$O$6:$O$25),"$#,##0")</f>
        <v/>
      </c>
      <c r="C3" s="1" t="n"/>
      <c r="D3" s="1" t="n"/>
      <c r="E3" s="1" t="n"/>
      <c r="F3" s="1" t="n"/>
      <c r="G3" s="1" t="n"/>
      <c r="H3" s="1" t="n"/>
      <c r="I3" s="1" t="n"/>
      <c r="J3" s="1" t="n"/>
      <c r="K3" s="1" t="n"/>
      <c r="L3" s="1" t="n"/>
      <c r="M3" s="1" t="n"/>
      <c r="N3" s="1" t="n"/>
      <c r="O3" s="1" t="n"/>
      <c r="P3" s="1" t="n"/>
      <c r="Q3" s="1" t="n"/>
    </row>
    <row r="4" ht="28" customHeight="1">
      <c r="A4" s="1" t="n"/>
      <c r="B4" s="1" t="n"/>
      <c r="C4" s="1" t="n"/>
      <c r="D4" s="1" t="n"/>
      <c r="E4" s="1" t="n"/>
      <c r="F4" s="1" t="n"/>
      <c r="G4" s="1" t="n"/>
      <c r="H4" s="1" t="n"/>
      <c r="I4" s="1" t="n"/>
      <c r="J4" s="1" t="n"/>
      <c r="K4" s="1" t="n"/>
      <c r="L4" s="73" t="inlineStr">
        <is>
          <t>Good deal = at least</t>
        </is>
      </c>
      <c r="M4" s="53" t="n">
        <v>0.1</v>
      </c>
      <c r="N4" s="51" t="inlineStr">
        <is>
          <t>below the usual price</t>
        </is>
      </c>
      <c r="O4" s="1" t="n"/>
      <c r="P4" s="1" t="n"/>
      <c r="Q4" s="1" t="n"/>
    </row>
    <row r="5" ht="34" customHeight="1">
      <c r="A5" s="1" t="n"/>
      <c r="B5" s="27" t="inlineStr">
        <is>
          <t>ITEM</t>
        </is>
      </c>
      <c r="C5" s="27" t="inlineStr">
        <is>
          <t>STORE</t>
        </is>
      </c>
      <c r="D5" s="27" t="inlineStr">
        <is>
          <t>SALE PRICE</t>
        </is>
      </c>
      <c r="E5" s="27" t="inlineStr">
        <is>
          <t>USUAL PRICE</t>
        </is>
      </c>
      <c r="F5" s="27" t="inlineStr">
        <is>
          <t>SALES TAX</t>
        </is>
      </c>
      <c r="G5" s="27" t="inlineStr">
        <is>
          <t>SHIPPING</t>
        </is>
      </c>
      <c r="H5" s="27" t="inlineStr">
        <is>
          <t>PAY WITH</t>
        </is>
      </c>
      <c r="I5" s="27" t="inlineStr">
        <is>
          <t>NUMBER OF PAYMENTS</t>
        </is>
      </c>
      <c r="J5" s="27" t="inlineStr">
        <is>
          <t>EACH PAYMENT</t>
        </is>
      </c>
      <c r="K5" s="27" t="inlineStr">
        <is>
          <t>NEED IT?</t>
        </is>
      </c>
      <c r="L5" s="19" t="inlineStr">
        <is>
          <t>BELOW USUAL</t>
        </is>
      </c>
      <c r="M5" s="19" t="inlineStr">
        <is>
          <t>TOTAL AT CHECKOUT</t>
        </is>
      </c>
      <c r="N5" s="19" t="inlineStr">
        <is>
          <t>TOTAL ON THE PLAN</t>
        </is>
      </c>
      <c r="O5" s="19" t="inlineStr">
        <is>
          <t>EXTRA ON THE PLAN</t>
        </is>
      </c>
      <c r="P5" s="19" t="inlineStr">
        <is>
          <t>VERDICT</t>
        </is>
      </c>
      <c r="Q5" s="1" t="n"/>
    </row>
    <row r="6" ht="22" customHeight="1">
      <c r="A6" s="1" t="n"/>
      <c r="B6" s="56" t="inlineStr">
        <is>
          <t>Noise-cancelling headphones</t>
        </is>
      </c>
      <c r="C6" s="59" t="inlineStr">
        <is>
          <t>Store A</t>
        </is>
      </c>
      <c r="D6" s="60" t="n">
        <v>199</v>
      </c>
      <c r="E6" s="60" t="n">
        <v>249</v>
      </c>
      <c r="F6" s="65" t="n">
        <v>0.08</v>
      </c>
      <c r="G6" s="60" t="n">
        <v>0</v>
      </c>
      <c r="H6" s="59" t="inlineStr">
        <is>
          <t>Credit card</t>
        </is>
      </c>
      <c r="I6" s="63" t="n"/>
      <c r="J6" s="60" t="n"/>
      <c r="K6" s="59" t="inlineStr">
        <is>
          <t>Yes</t>
        </is>
      </c>
      <c r="L6" s="22">
        <f>IF(AND(AND($B6&lt;&gt;"",ISNUMBER($D6)),N($E6)&gt;0),($E6-$D6)/$E6,"")</f>
        <v/>
      </c>
      <c r="M6" s="21">
        <f>IF(AND($B6&lt;&gt;"",ISNUMBER($D6)),$D6*(1+N($F6))+N($G6),"")</f>
        <v/>
      </c>
      <c r="N6" s="21">
        <f>IF(AND(AND($B6&lt;&gt;"",ISNUMBER($D6)),AND(N($I6)&gt;0,N($J6)&gt;0)),$I6*$J6,"")</f>
        <v/>
      </c>
      <c r="O6" s="21">
        <f>IF(ISNUMBER($N6),MAX(0,$N6-$M6),"")</f>
        <v/>
      </c>
      <c r="P6" s="33">
        <f>IF(NOT(AND($B6&lt;&gt;"",ISNUMBER($D6))),"",IF($K6="No","Skip it",IF(N($E6)=0,"Find the usual price",IF($D6&gt;=$E6,"Not a deal",IF(N($O6)&gt;0.005,"Deal, but the plan costs more",IF($L6&lt;'Deal Check'!$M$4,"Small deal","Real deal"))))))</f>
        <v/>
      </c>
      <c r="Q6" s="1" t="n"/>
    </row>
    <row r="7" ht="22" customHeight="1">
      <c r="A7" s="1" t="n"/>
      <c r="B7" s="57" t="inlineStr">
        <is>
          <t>Air fryer</t>
        </is>
      </c>
      <c r="C7" s="61" t="inlineStr">
        <is>
          <t>Store B</t>
        </is>
      </c>
      <c r="D7" s="62" t="n">
        <v>89</v>
      </c>
      <c r="E7" s="62" t="n">
        <v>89</v>
      </c>
      <c r="F7" s="70" t="n">
        <v>0.08</v>
      </c>
      <c r="G7" s="62" t="n">
        <v>0</v>
      </c>
      <c r="H7" s="61" t="inlineStr">
        <is>
          <t>Cash / debit</t>
        </is>
      </c>
      <c r="I7" s="68" t="n"/>
      <c r="J7" s="62" t="n"/>
      <c r="K7" s="61" t="inlineStr">
        <is>
          <t>Maybe</t>
        </is>
      </c>
      <c r="L7" s="25">
        <f>IF(AND(AND($B7&lt;&gt;"",ISNUMBER($D7)),N($E7)&gt;0),($E7-$D7)/$E7,"")</f>
        <v/>
      </c>
      <c r="M7" s="24">
        <f>IF(AND($B7&lt;&gt;"",ISNUMBER($D7)),$D7*(1+N($F7))+N($G7),"")</f>
        <v/>
      </c>
      <c r="N7" s="24">
        <f>IF(AND(AND($B7&lt;&gt;"",ISNUMBER($D7)),AND(N($I7)&gt;0,N($J7)&gt;0)),$I7*$J7,"")</f>
        <v/>
      </c>
      <c r="O7" s="24">
        <f>IF(ISNUMBER($N7),MAX(0,$N7-$M7),"")</f>
        <v/>
      </c>
      <c r="P7" s="35">
        <f>IF(NOT(AND($B7&lt;&gt;"",ISNUMBER($D7))),"",IF($K7="No","Skip it",IF(N($E7)=0,"Find the usual price",IF($D7&gt;=$E7,"Not a deal",IF(N($O7)&gt;0.005,"Deal, but the plan costs more",IF($L7&lt;'Deal Check'!$M$4,"Small deal","Real deal"))))))</f>
        <v/>
      </c>
      <c r="Q7" s="1" t="n"/>
    </row>
    <row r="8" ht="22" customHeight="1">
      <c r="A8" s="1" t="n"/>
      <c r="B8" s="56" t="inlineStr">
        <is>
          <t>55-inch TV</t>
        </is>
      </c>
      <c r="C8" s="59" t="inlineStr">
        <is>
          <t>Store A</t>
        </is>
      </c>
      <c r="D8" s="60" t="n">
        <v>499</v>
      </c>
      <c r="E8" s="60" t="n">
        <v>549</v>
      </c>
      <c r="F8" s="65" t="n">
        <v>0.08</v>
      </c>
      <c r="G8" s="60" t="n">
        <v>0</v>
      </c>
      <c r="H8" s="59" t="inlineStr">
        <is>
          <t>Store financing</t>
        </is>
      </c>
      <c r="I8" s="63" t="n">
        <v>12</v>
      </c>
      <c r="J8" s="60" t="n">
        <v>49</v>
      </c>
      <c r="K8" s="59" t="inlineStr">
        <is>
          <t>Yes</t>
        </is>
      </c>
      <c r="L8" s="22">
        <f>IF(AND(AND($B8&lt;&gt;"",ISNUMBER($D8)),N($E8)&gt;0),($E8-$D8)/$E8,"")</f>
        <v/>
      </c>
      <c r="M8" s="21">
        <f>IF(AND($B8&lt;&gt;"",ISNUMBER($D8)),$D8*(1+N($F8))+N($G8),"")</f>
        <v/>
      </c>
      <c r="N8" s="21">
        <f>IF(AND(AND($B8&lt;&gt;"",ISNUMBER($D8)),AND(N($I8)&gt;0,N($J8)&gt;0)),$I8*$J8,"")</f>
        <v/>
      </c>
      <c r="O8" s="21">
        <f>IF(ISNUMBER($N8),MAX(0,$N8-$M8),"")</f>
        <v/>
      </c>
      <c r="P8" s="33">
        <f>IF(NOT(AND($B8&lt;&gt;"",ISNUMBER($D8))),"",IF($K8="No","Skip it",IF(N($E8)=0,"Find the usual price",IF($D8&gt;=$E8,"Not a deal",IF(N($O8)&gt;0.005,"Deal, but the plan costs more",IF($L8&lt;'Deal Check'!$M$4,"Small deal","Real deal"))))))</f>
        <v/>
      </c>
      <c r="Q8" s="1" t="n"/>
    </row>
    <row r="9" ht="22" customHeight="1">
      <c r="A9" s="1" t="n"/>
      <c r="B9" s="57" t="inlineStr">
        <is>
          <t>Smart watch</t>
        </is>
      </c>
      <c r="C9" s="61" t="inlineStr">
        <is>
          <t>Store C</t>
        </is>
      </c>
      <c r="D9" s="62" t="n">
        <v>279</v>
      </c>
      <c r="E9" s="62" t="n">
        <v>299</v>
      </c>
      <c r="F9" s="70" t="n">
        <v>0.08</v>
      </c>
      <c r="G9" s="62" t="n">
        <v>0</v>
      </c>
      <c r="H9" s="61" t="inlineStr">
        <is>
          <t>Pay-in-4</t>
        </is>
      </c>
      <c r="I9" s="68" t="n">
        <v>4</v>
      </c>
      <c r="J9" s="62" t="n">
        <v>75.33</v>
      </c>
      <c r="K9" s="61" t="inlineStr">
        <is>
          <t>Yes</t>
        </is>
      </c>
      <c r="L9" s="25">
        <f>IF(AND(AND($B9&lt;&gt;"",ISNUMBER($D9)),N($E9)&gt;0),($E9-$D9)/$E9,"")</f>
        <v/>
      </c>
      <c r="M9" s="24">
        <f>IF(AND($B9&lt;&gt;"",ISNUMBER($D9)),$D9*(1+N($F9))+N($G9),"")</f>
        <v/>
      </c>
      <c r="N9" s="24">
        <f>IF(AND(AND($B9&lt;&gt;"",ISNUMBER($D9)),AND(N($I9)&gt;0,N($J9)&gt;0)),$I9*$J9,"")</f>
        <v/>
      </c>
      <c r="O9" s="24">
        <f>IF(ISNUMBER($N9),MAX(0,$N9-$M9),"")</f>
        <v/>
      </c>
      <c r="P9" s="35">
        <f>IF(NOT(AND($B9&lt;&gt;"",ISNUMBER($D9))),"",IF($K9="No","Skip it",IF(N($E9)=0,"Find the usual price",IF($D9&gt;=$E9,"Not a deal",IF(N($O9)&gt;0.005,"Deal, but the plan costs more",IF($L9&lt;'Deal Check'!$M$4,"Small deal","Real deal"))))))</f>
        <v/>
      </c>
      <c r="Q9" s="1" t="n"/>
    </row>
    <row r="10" ht="22" customHeight="1">
      <c r="A10" s="1" t="n"/>
      <c r="B10" s="56" t="inlineStr">
        <is>
          <t>Robot vacuum</t>
        </is>
      </c>
      <c r="C10" s="59" t="inlineStr">
        <is>
          <t>Store B</t>
        </is>
      </c>
      <c r="D10" s="60" t="n">
        <v>159</v>
      </c>
      <c r="E10" s="60" t="n">
        <v>299</v>
      </c>
      <c r="F10" s="65" t="n">
        <v>0.08</v>
      </c>
      <c r="G10" s="60" t="n">
        <v>15</v>
      </c>
      <c r="H10" s="59" t="inlineStr">
        <is>
          <t>Pay-in-4</t>
        </is>
      </c>
      <c r="I10" s="63" t="n">
        <v>4</v>
      </c>
      <c r="J10" s="60" t="n">
        <v>46.68</v>
      </c>
      <c r="K10" s="59" t="inlineStr">
        <is>
          <t>Yes</t>
        </is>
      </c>
      <c r="L10" s="22">
        <f>IF(AND(AND($B10&lt;&gt;"",ISNUMBER($D10)),N($E10)&gt;0),($E10-$D10)/$E10,"")</f>
        <v/>
      </c>
      <c r="M10" s="21">
        <f>IF(AND($B10&lt;&gt;"",ISNUMBER($D10)),$D10*(1+N($F10))+N($G10),"")</f>
        <v/>
      </c>
      <c r="N10" s="21">
        <f>IF(AND(AND($B10&lt;&gt;"",ISNUMBER($D10)),AND(N($I10)&gt;0,N($J10)&gt;0)),$I10*$J10,"")</f>
        <v/>
      </c>
      <c r="O10" s="21">
        <f>IF(ISNUMBER($N10),MAX(0,$N10-$M10),"")</f>
        <v/>
      </c>
      <c r="P10" s="33">
        <f>IF(NOT(AND($B10&lt;&gt;"",ISNUMBER($D10))),"",IF($K10="No","Skip it",IF(N($E10)=0,"Find the usual price",IF($D10&gt;=$E10,"Not a deal",IF(N($O10)&gt;0.005,"Deal, but the plan costs more",IF($L10&lt;'Deal Check'!$M$4,"Small deal","Real deal"))))))</f>
        <v/>
      </c>
      <c r="Q10" s="1" t="n"/>
    </row>
    <row r="11" ht="22" customHeight="1">
      <c r="A11" s="1" t="n"/>
      <c r="B11" s="57" t="inlineStr">
        <is>
          <t>Electric scooter</t>
        </is>
      </c>
      <c r="C11" s="61" t="inlineStr">
        <is>
          <t>Store C</t>
        </is>
      </c>
      <c r="D11" s="62" t="n">
        <v>349</v>
      </c>
      <c r="E11" s="62" t="n">
        <v>449</v>
      </c>
      <c r="F11" s="70" t="n">
        <v>0.08</v>
      </c>
      <c r="G11" s="62" t="n">
        <v>25</v>
      </c>
      <c r="H11" s="61" t="inlineStr">
        <is>
          <t>Monthly BNPL</t>
        </is>
      </c>
      <c r="I11" s="68" t="n">
        <v>6</v>
      </c>
      <c r="J11" s="62" t="n">
        <v>69</v>
      </c>
      <c r="K11" s="61" t="inlineStr">
        <is>
          <t>No</t>
        </is>
      </c>
      <c r="L11" s="25">
        <f>IF(AND(AND($B11&lt;&gt;"",ISNUMBER($D11)),N($E11)&gt;0),($E11-$D11)/$E11,"")</f>
        <v/>
      </c>
      <c r="M11" s="24">
        <f>IF(AND($B11&lt;&gt;"",ISNUMBER($D11)),$D11*(1+N($F11))+N($G11),"")</f>
        <v/>
      </c>
      <c r="N11" s="24">
        <f>IF(AND(AND($B11&lt;&gt;"",ISNUMBER($D11)),AND(N($I11)&gt;0,N($J11)&gt;0)),$I11*$J11,"")</f>
        <v/>
      </c>
      <c r="O11" s="24">
        <f>IF(ISNUMBER($N11),MAX(0,$N11-$M11),"")</f>
        <v/>
      </c>
      <c r="P11" s="35">
        <f>IF(NOT(AND($B11&lt;&gt;"",ISNUMBER($D11))),"",IF($K11="No","Skip it",IF(N($E11)=0,"Find the usual price",IF($D11&gt;=$E11,"Not a deal",IF(N($O11)&gt;0.005,"Deal, but the plan costs more",IF($L11&lt;'Deal Check'!$M$4,"Small deal","Real deal"))))))</f>
        <v/>
      </c>
      <c r="Q11" s="1" t="n"/>
    </row>
    <row r="12" ht="22" customHeight="1">
      <c r="A12" s="1" t="n"/>
      <c r="B12" s="56" t="n"/>
      <c r="C12" s="59" t="n"/>
      <c r="D12" s="60" t="n"/>
      <c r="E12" s="60" t="n"/>
      <c r="F12" s="65" t="n"/>
      <c r="G12" s="60" t="n"/>
      <c r="H12" s="59" t="n"/>
      <c r="I12" s="63" t="n"/>
      <c r="J12" s="60" t="n"/>
      <c r="K12" s="59" t="n"/>
      <c r="L12" s="22">
        <f>IF(AND(AND($B12&lt;&gt;"",ISNUMBER($D12)),N($E12)&gt;0),($E12-$D12)/$E12,"")</f>
        <v/>
      </c>
      <c r="M12" s="21">
        <f>IF(AND($B12&lt;&gt;"",ISNUMBER($D12)),$D12*(1+N($F12))+N($G12),"")</f>
        <v/>
      </c>
      <c r="N12" s="21">
        <f>IF(AND(AND($B12&lt;&gt;"",ISNUMBER($D12)),AND(N($I12)&gt;0,N($J12)&gt;0)),$I12*$J12,"")</f>
        <v/>
      </c>
      <c r="O12" s="21">
        <f>IF(ISNUMBER($N12),MAX(0,$N12-$M12),"")</f>
        <v/>
      </c>
      <c r="P12" s="33">
        <f>IF(NOT(AND($B12&lt;&gt;"",ISNUMBER($D12))),"",IF($K12="No","Skip it",IF(N($E12)=0,"Find the usual price",IF($D12&gt;=$E12,"Not a deal",IF(N($O12)&gt;0.005,"Deal, but the plan costs more",IF($L12&lt;'Deal Check'!$M$4,"Small deal","Real deal"))))))</f>
        <v/>
      </c>
      <c r="Q12" s="1" t="n"/>
    </row>
    <row r="13" ht="22" customHeight="1">
      <c r="A13" s="1" t="n"/>
      <c r="B13" s="57" t="n"/>
      <c r="C13" s="61" t="n"/>
      <c r="D13" s="62" t="n"/>
      <c r="E13" s="62" t="n"/>
      <c r="F13" s="70" t="n"/>
      <c r="G13" s="62" t="n"/>
      <c r="H13" s="61" t="n"/>
      <c r="I13" s="68" t="n"/>
      <c r="J13" s="62" t="n"/>
      <c r="K13" s="61" t="n"/>
      <c r="L13" s="25">
        <f>IF(AND(AND($B13&lt;&gt;"",ISNUMBER($D13)),N($E13)&gt;0),($E13-$D13)/$E13,"")</f>
        <v/>
      </c>
      <c r="M13" s="24">
        <f>IF(AND($B13&lt;&gt;"",ISNUMBER($D13)),$D13*(1+N($F13))+N($G13),"")</f>
        <v/>
      </c>
      <c r="N13" s="24">
        <f>IF(AND(AND($B13&lt;&gt;"",ISNUMBER($D13)),AND(N($I13)&gt;0,N($J13)&gt;0)),$I13*$J13,"")</f>
        <v/>
      </c>
      <c r="O13" s="24">
        <f>IF(ISNUMBER($N13),MAX(0,$N13-$M13),"")</f>
        <v/>
      </c>
      <c r="P13" s="35">
        <f>IF(NOT(AND($B13&lt;&gt;"",ISNUMBER($D13))),"",IF($K13="No","Skip it",IF(N($E13)=0,"Find the usual price",IF($D13&gt;=$E13,"Not a deal",IF(N($O13)&gt;0.005,"Deal, but the plan costs more",IF($L13&lt;'Deal Check'!$M$4,"Small deal","Real deal"))))))</f>
        <v/>
      </c>
      <c r="Q13" s="1" t="n"/>
    </row>
    <row r="14" ht="22" customHeight="1">
      <c r="A14" s="1" t="n"/>
      <c r="B14" s="56" t="n"/>
      <c r="C14" s="59" t="n"/>
      <c r="D14" s="60" t="n"/>
      <c r="E14" s="60" t="n"/>
      <c r="F14" s="65" t="n"/>
      <c r="G14" s="60" t="n"/>
      <c r="H14" s="59" t="n"/>
      <c r="I14" s="63" t="n"/>
      <c r="J14" s="60" t="n"/>
      <c r="K14" s="59" t="n"/>
      <c r="L14" s="22">
        <f>IF(AND(AND($B14&lt;&gt;"",ISNUMBER($D14)),N($E14)&gt;0),($E14-$D14)/$E14,"")</f>
        <v/>
      </c>
      <c r="M14" s="21">
        <f>IF(AND($B14&lt;&gt;"",ISNUMBER($D14)),$D14*(1+N($F14))+N($G14),"")</f>
        <v/>
      </c>
      <c r="N14" s="21">
        <f>IF(AND(AND($B14&lt;&gt;"",ISNUMBER($D14)),AND(N($I14)&gt;0,N($J14)&gt;0)),$I14*$J14,"")</f>
        <v/>
      </c>
      <c r="O14" s="21">
        <f>IF(ISNUMBER($N14),MAX(0,$N14-$M14),"")</f>
        <v/>
      </c>
      <c r="P14" s="33">
        <f>IF(NOT(AND($B14&lt;&gt;"",ISNUMBER($D14))),"",IF($K14="No","Skip it",IF(N($E14)=0,"Find the usual price",IF($D14&gt;=$E14,"Not a deal",IF(N($O14)&gt;0.005,"Deal, but the plan costs more",IF($L14&lt;'Deal Check'!$M$4,"Small deal","Real deal"))))))</f>
        <v/>
      </c>
      <c r="Q14" s="1" t="n"/>
    </row>
    <row r="15" ht="22" customHeight="1">
      <c r="A15" s="1" t="n"/>
      <c r="B15" s="57" t="n"/>
      <c r="C15" s="61" t="n"/>
      <c r="D15" s="62" t="n"/>
      <c r="E15" s="62" t="n"/>
      <c r="F15" s="70" t="n"/>
      <c r="G15" s="62" t="n"/>
      <c r="H15" s="61" t="n"/>
      <c r="I15" s="68" t="n"/>
      <c r="J15" s="62" t="n"/>
      <c r="K15" s="61" t="n"/>
      <c r="L15" s="25">
        <f>IF(AND(AND($B15&lt;&gt;"",ISNUMBER($D15)),N($E15)&gt;0),($E15-$D15)/$E15,"")</f>
        <v/>
      </c>
      <c r="M15" s="24">
        <f>IF(AND($B15&lt;&gt;"",ISNUMBER($D15)),$D15*(1+N($F15))+N($G15),"")</f>
        <v/>
      </c>
      <c r="N15" s="24">
        <f>IF(AND(AND($B15&lt;&gt;"",ISNUMBER($D15)),AND(N($I15)&gt;0,N($J15)&gt;0)),$I15*$J15,"")</f>
        <v/>
      </c>
      <c r="O15" s="24">
        <f>IF(ISNUMBER($N15),MAX(0,$N15-$M15),"")</f>
        <v/>
      </c>
      <c r="P15" s="35">
        <f>IF(NOT(AND($B15&lt;&gt;"",ISNUMBER($D15))),"",IF($K15="No","Skip it",IF(N($E15)=0,"Find the usual price",IF($D15&gt;=$E15,"Not a deal",IF(N($O15)&gt;0.005,"Deal, but the plan costs more",IF($L15&lt;'Deal Check'!$M$4,"Small deal","Real deal"))))))</f>
        <v/>
      </c>
      <c r="Q15" s="1" t="n"/>
    </row>
    <row r="16" ht="22" customHeight="1">
      <c r="A16" s="1" t="n"/>
      <c r="B16" s="56" t="n"/>
      <c r="C16" s="59" t="n"/>
      <c r="D16" s="60" t="n"/>
      <c r="E16" s="60" t="n"/>
      <c r="F16" s="65" t="n"/>
      <c r="G16" s="60" t="n"/>
      <c r="H16" s="59" t="n"/>
      <c r="I16" s="63" t="n"/>
      <c r="J16" s="60" t="n"/>
      <c r="K16" s="59" t="n"/>
      <c r="L16" s="22">
        <f>IF(AND(AND($B16&lt;&gt;"",ISNUMBER($D16)),N($E16)&gt;0),($E16-$D16)/$E16,"")</f>
        <v/>
      </c>
      <c r="M16" s="21">
        <f>IF(AND($B16&lt;&gt;"",ISNUMBER($D16)),$D16*(1+N($F16))+N($G16),"")</f>
        <v/>
      </c>
      <c r="N16" s="21">
        <f>IF(AND(AND($B16&lt;&gt;"",ISNUMBER($D16)),AND(N($I16)&gt;0,N($J16)&gt;0)),$I16*$J16,"")</f>
        <v/>
      </c>
      <c r="O16" s="21">
        <f>IF(ISNUMBER($N16),MAX(0,$N16-$M16),"")</f>
        <v/>
      </c>
      <c r="P16" s="33">
        <f>IF(NOT(AND($B16&lt;&gt;"",ISNUMBER($D16))),"",IF($K16="No","Skip it",IF(N($E16)=0,"Find the usual price",IF($D16&gt;=$E16,"Not a deal",IF(N($O16)&gt;0.005,"Deal, but the plan costs more",IF($L16&lt;'Deal Check'!$M$4,"Small deal","Real deal"))))))</f>
        <v/>
      </c>
      <c r="Q16" s="1" t="n"/>
    </row>
    <row r="17" ht="22" customHeight="1">
      <c r="A17" s="1" t="n"/>
      <c r="B17" s="57" t="n"/>
      <c r="C17" s="61" t="n"/>
      <c r="D17" s="62" t="n"/>
      <c r="E17" s="62" t="n"/>
      <c r="F17" s="70" t="n"/>
      <c r="G17" s="62" t="n"/>
      <c r="H17" s="61" t="n"/>
      <c r="I17" s="68" t="n"/>
      <c r="J17" s="62" t="n"/>
      <c r="K17" s="61" t="n"/>
      <c r="L17" s="25">
        <f>IF(AND(AND($B17&lt;&gt;"",ISNUMBER($D17)),N($E17)&gt;0),($E17-$D17)/$E17,"")</f>
        <v/>
      </c>
      <c r="M17" s="24">
        <f>IF(AND($B17&lt;&gt;"",ISNUMBER($D17)),$D17*(1+N($F17))+N($G17),"")</f>
        <v/>
      </c>
      <c r="N17" s="24">
        <f>IF(AND(AND($B17&lt;&gt;"",ISNUMBER($D17)),AND(N($I17)&gt;0,N($J17)&gt;0)),$I17*$J17,"")</f>
        <v/>
      </c>
      <c r="O17" s="24">
        <f>IF(ISNUMBER($N17),MAX(0,$N17-$M17),"")</f>
        <v/>
      </c>
      <c r="P17" s="35">
        <f>IF(NOT(AND($B17&lt;&gt;"",ISNUMBER($D17))),"",IF($K17="No","Skip it",IF(N($E17)=0,"Find the usual price",IF($D17&gt;=$E17,"Not a deal",IF(N($O17)&gt;0.005,"Deal, but the plan costs more",IF($L17&lt;'Deal Check'!$M$4,"Small deal","Real deal"))))))</f>
        <v/>
      </c>
      <c r="Q17" s="1" t="n"/>
    </row>
    <row r="18" ht="22" customHeight="1">
      <c r="A18" s="1" t="n"/>
      <c r="B18" s="56" t="n"/>
      <c r="C18" s="59" t="n"/>
      <c r="D18" s="60" t="n"/>
      <c r="E18" s="60" t="n"/>
      <c r="F18" s="65" t="n"/>
      <c r="G18" s="60" t="n"/>
      <c r="H18" s="59" t="n"/>
      <c r="I18" s="63" t="n"/>
      <c r="J18" s="60" t="n"/>
      <c r="K18" s="59" t="n"/>
      <c r="L18" s="22">
        <f>IF(AND(AND($B18&lt;&gt;"",ISNUMBER($D18)),N($E18)&gt;0),($E18-$D18)/$E18,"")</f>
        <v/>
      </c>
      <c r="M18" s="21">
        <f>IF(AND($B18&lt;&gt;"",ISNUMBER($D18)),$D18*(1+N($F18))+N($G18),"")</f>
        <v/>
      </c>
      <c r="N18" s="21">
        <f>IF(AND(AND($B18&lt;&gt;"",ISNUMBER($D18)),AND(N($I18)&gt;0,N($J18)&gt;0)),$I18*$J18,"")</f>
        <v/>
      </c>
      <c r="O18" s="21">
        <f>IF(ISNUMBER($N18),MAX(0,$N18-$M18),"")</f>
        <v/>
      </c>
      <c r="P18" s="33">
        <f>IF(NOT(AND($B18&lt;&gt;"",ISNUMBER($D18))),"",IF($K18="No","Skip it",IF(N($E18)=0,"Find the usual price",IF($D18&gt;=$E18,"Not a deal",IF(N($O18)&gt;0.005,"Deal, but the plan costs more",IF($L18&lt;'Deal Check'!$M$4,"Small deal","Real deal"))))))</f>
        <v/>
      </c>
      <c r="Q18" s="1" t="n"/>
    </row>
    <row r="19" ht="22" customHeight="1">
      <c r="A19" s="1" t="n"/>
      <c r="B19" s="57" t="n"/>
      <c r="C19" s="61" t="n"/>
      <c r="D19" s="62" t="n"/>
      <c r="E19" s="62" t="n"/>
      <c r="F19" s="70" t="n"/>
      <c r="G19" s="62" t="n"/>
      <c r="H19" s="61" t="n"/>
      <c r="I19" s="68" t="n"/>
      <c r="J19" s="62" t="n"/>
      <c r="K19" s="61" t="n"/>
      <c r="L19" s="25">
        <f>IF(AND(AND($B19&lt;&gt;"",ISNUMBER($D19)),N($E19)&gt;0),($E19-$D19)/$E19,"")</f>
        <v/>
      </c>
      <c r="M19" s="24">
        <f>IF(AND($B19&lt;&gt;"",ISNUMBER($D19)),$D19*(1+N($F19))+N($G19),"")</f>
        <v/>
      </c>
      <c r="N19" s="24">
        <f>IF(AND(AND($B19&lt;&gt;"",ISNUMBER($D19)),AND(N($I19)&gt;0,N($J19)&gt;0)),$I19*$J19,"")</f>
        <v/>
      </c>
      <c r="O19" s="24">
        <f>IF(ISNUMBER($N19),MAX(0,$N19-$M19),"")</f>
        <v/>
      </c>
      <c r="P19" s="35">
        <f>IF(NOT(AND($B19&lt;&gt;"",ISNUMBER($D19))),"",IF($K19="No","Skip it",IF(N($E19)=0,"Find the usual price",IF($D19&gt;=$E19,"Not a deal",IF(N($O19)&gt;0.005,"Deal, but the plan costs more",IF($L19&lt;'Deal Check'!$M$4,"Small deal","Real deal"))))))</f>
        <v/>
      </c>
      <c r="Q19" s="1" t="n"/>
    </row>
    <row r="20" ht="22" customHeight="1">
      <c r="A20" s="1" t="n"/>
      <c r="B20" s="56" t="n"/>
      <c r="C20" s="59" t="n"/>
      <c r="D20" s="60" t="n"/>
      <c r="E20" s="60" t="n"/>
      <c r="F20" s="65" t="n"/>
      <c r="G20" s="60" t="n"/>
      <c r="H20" s="59" t="n"/>
      <c r="I20" s="63" t="n"/>
      <c r="J20" s="60" t="n"/>
      <c r="K20" s="59" t="n"/>
      <c r="L20" s="22">
        <f>IF(AND(AND($B20&lt;&gt;"",ISNUMBER($D20)),N($E20)&gt;0),($E20-$D20)/$E20,"")</f>
        <v/>
      </c>
      <c r="M20" s="21">
        <f>IF(AND($B20&lt;&gt;"",ISNUMBER($D20)),$D20*(1+N($F20))+N($G20),"")</f>
        <v/>
      </c>
      <c r="N20" s="21">
        <f>IF(AND(AND($B20&lt;&gt;"",ISNUMBER($D20)),AND(N($I20)&gt;0,N($J20)&gt;0)),$I20*$J20,"")</f>
        <v/>
      </c>
      <c r="O20" s="21">
        <f>IF(ISNUMBER($N20),MAX(0,$N20-$M20),"")</f>
        <v/>
      </c>
      <c r="P20" s="33">
        <f>IF(NOT(AND($B20&lt;&gt;"",ISNUMBER($D20))),"",IF($K20="No","Skip it",IF(N($E20)=0,"Find the usual price",IF($D20&gt;=$E20,"Not a deal",IF(N($O20)&gt;0.005,"Deal, but the plan costs more",IF($L20&lt;'Deal Check'!$M$4,"Small deal","Real deal"))))))</f>
        <v/>
      </c>
      <c r="Q20" s="1" t="n"/>
    </row>
    <row r="21" ht="22" customHeight="1">
      <c r="A21" s="1" t="n"/>
      <c r="B21" s="57" t="n"/>
      <c r="C21" s="61" t="n"/>
      <c r="D21" s="62" t="n"/>
      <c r="E21" s="62" t="n"/>
      <c r="F21" s="70" t="n"/>
      <c r="G21" s="62" t="n"/>
      <c r="H21" s="61" t="n"/>
      <c r="I21" s="68" t="n"/>
      <c r="J21" s="62" t="n"/>
      <c r="K21" s="61" t="n"/>
      <c r="L21" s="25">
        <f>IF(AND(AND($B21&lt;&gt;"",ISNUMBER($D21)),N($E21)&gt;0),($E21-$D21)/$E21,"")</f>
        <v/>
      </c>
      <c r="M21" s="24">
        <f>IF(AND($B21&lt;&gt;"",ISNUMBER($D21)),$D21*(1+N($F21))+N($G21),"")</f>
        <v/>
      </c>
      <c r="N21" s="24">
        <f>IF(AND(AND($B21&lt;&gt;"",ISNUMBER($D21)),AND(N($I21)&gt;0,N($J21)&gt;0)),$I21*$J21,"")</f>
        <v/>
      </c>
      <c r="O21" s="24">
        <f>IF(ISNUMBER($N21),MAX(0,$N21-$M21),"")</f>
        <v/>
      </c>
      <c r="P21" s="35">
        <f>IF(NOT(AND($B21&lt;&gt;"",ISNUMBER($D21))),"",IF($K21="No","Skip it",IF(N($E21)=0,"Find the usual price",IF($D21&gt;=$E21,"Not a deal",IF(N($O21)&gt;0.005,"Deal, but the plan costs more",IF($L21&lt;'Deal Check'!$M$4,"Small deal","Real deal"))))))</f>
        <v/>
      </c>
      <c r="Q21" s="1" t="n"/>
    </row>
    <row r="22" ht="22" customHeight="1">
      <c r="A22" s="1" t="n"/>
      <c r="B22" s="56" t="n"/>
      <c r="C22" s="59" t="n"/>
      <c r="D22" s="60" t="n"/>
      <c r="E22" s="60" t="n"/>
      <c r="F22" s="65" t="n"/>
      <c r="G22" s="60" t="n"/>
      <c r="H22" s="59" t="n"/>
      <c r="I22" s="63" t="n"/>
      <c r="J22" s="60" t="n"/>
      <c r="K22" s="59" t="n"/>
      <c r="L22" s="22">
        <f>IF(AND(AND($B22&lt;&gt;"",ISNUMBER($D22)),N($E22)&gt;0),($E22-$D22)/$E22,"")</f>
        <v/>
      </c>
      <c r="M22" s="21">
        <f>IF(AND($B22&lt;&gt;"",ISNUMBER($D22)),$D22*(1+N($F22))+N($G22),"")</f>
        <v/>
      </c>
      <c r="N22" s="21">
        <f>IF(AND(AND($B22&lt;&gt;"",ISNUMBER($D22)),AND(N($I22)&gt;0,N($J22)&gt;0)),$I22*$J22,"")</f>
        <v/>
      </c>
      <c r="O22" s="21">
        <f>IF(ISNUMBER($N22),MAX(0,$N22-$M22),"")</f>
        <v/>
      </c>
      <c r="P22" s="33">
        <f>IF(NOT(AND($B22&lt;&gt;"",ISNUMBER($D22))),"",IF($K22="No","Skip it",IF(N($E22)=0,"Find the usual price",IF($D22&gt;=$E22,"Not a deal",IF(N($O22)&gt;0.005,"Deal, but the plan costs more",IF($L22&lt;'Deal Check'!$M$4,"Small deal","Real deal"))))))</f>
        <v/>
      </c>
      <c r="Q22" s="1" t="n"/>
    </row>
    <row r="23" ht="22" customHeight="1">
      <c r="A23" s="1" t="n"/>
      <c r="B23" s="57" t="n"/>
      <c r="C23" s="61" t="n"/>
      <c r="D23" s="62" t="n"/>
      <c r="E23" s="62" t="n"/>
      <c r="F23" s="70" t="n"/>
      <c r="G23" s="62" t="n"/>
      <c r="H23" s="61" t="n"/>
      <c r="I23" s="68" t="n"/>
      <c r="J23" s="62" t="n"/>
      <c r="K23" s="61" t="n"/>
      <c r="L23" s="25">
        <f>IF(AND(AND($B23&lt;&gt;"",ISNUMBER($D23)),N($E23)&gt;0),($E23-$D23)/$E23,"")</f>
        <v/>
      </c>
      <c r="M23" s="24">
        <f>IF(AND($B23&lt;&gt;"",ISNUMBER($D23)),$D23*(1+N($F23))+N($G23),"")</f>
        <v/>
      </c>
      <c r="N23" s="24">
        <f>IF(AND(AND($B23&lt;&gt;"",ISNUMBER($D23)),AND(N($I23)&gt;0,N($J23)&gt;0)),$I23*$J23,"")</f>
        <v/>
      </c>
      <c r="O23" s="24">
        <f>IF(ISNUMBER($N23),MAX(0,$N23-$M23),"")</f>
        <v/>
      </c>
      <c r="P23" s="35">
        <f>IF(NOT(AND($B23&lt;&gt;"",ISNUMBER($D23))),"",IF($K23="No","Skip it",IF(N($E23)=0,"Find the usual price",IF($D23&gt;=$E23,"Not a deal",IF(N($O23)&gt;0.005,"Deal, but the plan costs more",IF($L23&lt;'Deal Check'!$M$4,"Small deal","Real deal"))))))</f>
        <v/>
      </c>
      <c r="Q23" s="1" t="n"/>
    </row>
    <row r="24" ht="22" customHeight="1">
      <c r="A24" s="1" t="n"/>
      <c r="B24" s="56" t="n"/>
      <c r="C24" s="59" t="n"/>
      <c r="D24" s="60" t="n"/>
      <c r="E24" s="60" t="n"/>
      <c r="F24" s="65" t="n"/>
      <c r="G24" s="60" t="n"/>
      <c r="H24" s="59" t="n"/>
      <c r="I24" s="63" t="n"/>
      <c r="J24" s="60" t="n"/>
      <c r="K24" s="59" t="n"/>
      <c r="L24" s="22">
        <f>IF(AND(AND($B24&lt;&gt;"",ISNUMBER($D24)),N($E24)&gt;0),($E24-$D24)/$E24,"")</f>
        <v/>
      </c>
      <c r="M24" s="21">
        <f>IF(AND($B24&lt;&gt;"",ISNUMBER($D24)),$D24*(1+N($F24))+N($G24),"")</f>
        <v/>
      </c>
      <c r="N24" s="21">
        <f>IF(AND(AND($B24&lt;&gt;"",ISNUMBER($D24)),AND(N($I24)&gt;0,N($J24)&gt;0)),$I24*$J24,"")</f>
        <v/>
      </c>
      <c r="O24" s="21">
        <f>IF(ISNUMBER($N24),MAX(0,$N24-$M24),"")</f>
        <v/>
      </c>
      <c r="P24" s="33">
        <f>IF(NOT(AND($B24&lt;&gt;"",ISNUMBER($D24))),"",IF($K24="No","Skip it",IF(N($E24)=0,"Find the usual price",IF($D24&gt;=$E24,"Not a deal",IF(N($O24)&gt;0.005,"Deal, but the plan costs more",IF($L24&lt;'Deal Check'!$M$4,"Small deal","Real deal"))))))</f>
        <v/>
      </c>
      <c r="Q24" s="1" t="n"/>
    </row>
    <row r="25" ht="22" customHeight="1">
      <c r="A25" s="1" t="n"/>
      <c r="B25" s="57" t="n"/>
      <c r="C25" s="61" t="n"/>
      <c r="D25" s="62" t="n"/>
      <c r="E25" s="62" t="n"/>
      <c r="F25" s="70" t="n"/>
      <c r="G25" s="62" t="n"/>
      <c r="H25" s="61" t="n"/>
      <c r="I25" s="68" t="n"/>
      <c r="J25" s="62" t="n"/>
      <c r="K25" s="61" t="n"/>
      <c r="L25" s="25">
        <f>IF(AND(AND($B25&lt;&gt;"",ISNUMBER($D25)),N($E25)&gt;0),($E25-$D25)/$E25,"")</f>
        <v/>
      </c>
      <c r="M25" s="24">
        <f>IF(AND($B25&lt;&gt;"",ISNUMBER($D25)),$D25*(1+N($F25))+N($G25),"")</f>
        <v/>
      </c>
      <c r="N25" s="24">
        <f>IF(AND(AND($B25&lt;&gt;"",ISNUMBER($D25)),AND(N($I25)&gt;0,N($J25)&gt;0)),$I25*$J25,"")</f>
        <v/>
      </c>
      <c r="O25" s="24">
        <f>IF(ISNUMBER($N25),MAX(0,$N25-$M25),"")</f>
        <v/>
      </c>
      <c r="P25" s="35">
        <f>IF(NOT(AND($B25&lt;&gt;"",ISNUMBER($D25))),"",IF($K25="No","Skip it",IF(N($E25)=0,"Find the usual price",IF($D25&gt;=$E25,"Not a deal",IF(N($O25)&gt;0.005,"Deal, but the plan costs more",IF($L25&lt;'Deal Check'!$M$4,"Small deal","Real deal"))))))</f>
        <v/>
      </c>
      <c r="Q25" s="1" t="n"/>
    </row>
    <row r="26">
      <c r="A26" s="1" t="n"/>
      <c r="B26" s="1" t="n"/>
      <c r="C26" s="1" t="n"/>
      <c r="D26" s="1" t="n"/>
      <c r="E26" s="1" t="n"/>
      <c r="F26" s="1" t="n"/>
      <c r="G26" s="1" t="n"/>
      <c r="H26" s="1" t="n"/>
      <c r="I26" s="1" t="n"/>
      <c r="J26" s="1" t="n"/>
      <c r="K26" s="1" t="n"/>
      <c r="L26" s="1" t="n"/>
      <c r="M26" s="1" t="n"/>
      <c r="N26" s="1" t="n"/>
      <c r="O26" s="1" t="n"/>
      <c r="P26" s="1" t="n"/>
      <c r="Q26" s="1" t="n"/>
    </row>
    <row r="27">
      <c r="A27" s="1" t="n"/>
      <c r="B27" s="1" t="n"/>
      <c r="C27" s="1" t="n"/>
      <c r="D27" s="1" t="n"/>
      <c r="E27" s="1" t="n"/>
      <c r="F27" s="1" t="n"/>
      <c r="G27" s="1" t="n"/>
      <c r="H27" s="1" t="n"/>
      <c r="I27" s="1" t="n"/>
      <c r="J27" s="1" t="n"/>
      <c r="K27" s="1" t="n"/>
      <c r="L27" s="1" t="n"/>
      <c r="M27" s="1" t="n"/>
      <c r="N27" s="1" t="n"/>
      <c r="O27" s="1" t="n"/>
      <c r="P27" s="1" t="n"/>
      <c r="Q27" s="1" t="n"/>
    </row>
  </sheetData>
  <autoFilter ref="B5:P25"/>
  <conditionalFormatting sqref="H6:H25">
    <cfRule type="cellIs" priority="1" operator="equal" dxfId="3">
      <formula>"Cash / debit"</formula>
    </cfRule>
    <cfRule type="cellIs" priority="2" operator="equal" dxfId="6">
      <formula>"Credit card"</formula>
    </cfRule>
    <cfRule type="cellIs" priority="3" operator="equal" dxfId="2">
      <formula>"Pay-in-4"</formula>
    </cfRule>
    <cfRule type="cellIs" priority="4" operator="equal" dxfId="1">
      <formula>"Monthly BNPL"</formula>
    </cfRule>
    <cfRule type="cellIs" priority="5" operator="equal" dxfId="1">
      <formula>"Store financing"</formula>
    </cfRule>
    <cfRule type="cellIs" priority="6" operator="equal" dxfId="5">
      <formula>"Gift card"</formula>
    </cfRule>
    <cfRule type="cellIs" priority="7" operator="equal" dxfId="7">
      <formula>"Other"</formula>
    </cfRule>
  </conditionalFormatting>
  <conditionalFormatting sqref="K6:K25">
    <cfRule type="cellIs" priority="8" operator="equal" dxfId="3">
      <formula>"Yes"</formula>
    </cfRule>
    <cfRule type="cellIs" priority="9" operator="equal" dxfId="2">
      <formula>"Maybe"</formula>
    </cfRule>
    <cfRule type="cellIs" priority="10" operator="equal" dxfId="7">
      <formula>"No"</formula>
    </cfRule>
  </conditionalFormatting>
  <conditionalFormatting sqref="P6:P25">
    <cfRule type="cellIs" priority="11" operator="equal" dxfId="3">
      <formula>"Real deal"</formula>
    </cfRule>
    <cfRule type="cellIs" priority="12" operator="equal" dxfId="2">
      <formula>"Small deal"</formula>
    </cfRule>
    <cfRule type="cellIs" priority="13" operator="equal" dxfId="1">
      <formula>"Deal, but the plan costs more"</formula>
    </cfRule>
    <cfRule type="cellIs" priority="14" operator="equal" dxfId="1">
      <formula>"Not a deal"</formula>
    </cfRule>
    <cfRule type="cellIs" priority="15" operator="equal" dxfId="7">
      <formula>"Skip it"</formula>
    </cfRule>
    <cfRule type="cellIs" priority="16" operator="equal" dxfId="6">
      <formula>"Find the usual price"</formula>
    </cfRule>
  </conditionalFormatting>
  <conditionalFormatting sqref="O6:O25">
    <cfRule type="expression" priority="17" dxfId="0">
      <formula>AND(ISNUMBER($O6),$O6&gt;0.005)</formula>
    </cfRule>
  </conditionalFormatting>
  <dataValidations count="2">
    <dataValidation sqref="H6:H25" showDropDown="0" showInputMessage="0" showErrorMessage="0" allowBlank="1" type="list">
      <formula1>=Settings!$C$14:$C$21</formula1>
    </dataValidation>
    <dataValidation sqref="K6:K25" showDropDown="0" showInputMessage="0" showErrorMessage="0" allowBlank="1" type="list">
      <formula1>"Yes,Maybe,No"</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6302A"/>
    <outlinePr summaryBelow="1" summaryRight="1"/>
    <pageSetUpPr/>
  </sheetPr>
  <dimension ref="A1:G40"/>
  <sheetViews>
    <sheetView showGridLines="0" workbookViewId="0">
      <selection activeCell="A1" sqref="A1"/>
    </sheetView>
  </sheetViews>
  <sheetFormatPr baseColWidth="8" defaultRowHeight="15"/>
  <cols>
    <col width="3" customWidth="1" min="1" max="1"/>
    <col width="24" customWidth="1" min="2" max="2"/>
    <col width="14" customWidth="1" min="3" max="3"/>
    <col width="14" customWidth="1" min="4" max="4"/>
    <col width="14" customWidth="1" min="5" max="5"/>
    <col width="14" customWidth="1" min="6" max="6"/>
  </cols>
  <sheetData>
    <row r="1">
      <c r="A1" s="1" t="n"/>
      <c r="B1" s="1" t="n"/>
      <c r="C1" s="1" t="n"/>
      <c r="D1" s="1" t="n"/>
      <c r="E1" s="1" t="n"/>
      <c r="F1" s="1" t="n"/>
      <c r="G1" s="1" t="n"/>
    </row>
    <row r="2" ht="30" customHeight="1">
      <c r="A2" s="1" t="n"/>
      <c r="B2" s="44" t="inlineStr">
        <is>
          <t>Chart Data</t>
        </is>
      </c>
      <c r="C2" s="1" t="n"/>
      <c r="D2" s="1" t="n"/>
      <c r="E2" s="1" t="n"/>
      <c r="F2" s="1" t="n"/>
      <c r="G2" s="1" t="n"/>
    </row>
    <row r="3">
      <c r="A3" s="1" t="n"/>
      <c r="B3" s="5" t="inlineStr">
        <is>
          <t>Feeds the Dashboard charts and lists. Nothing to edit here.</t>
        </is>
      </c>
      <c r="C3" s="1" t="n"/>
      <c r="D3" s="1" t="n"/>
      <c r="E3" s="1" t="n"/>
      <c r="F3" s="1" t="n"/>
      <c r="G3" s="1" t="n"/>
    </row>
    <row r="4" ht="34" customHeight="1">
      <c r="A4" s="1" t="n"/>
      <c r="B4" s="47" t="inlineStr">
        <is>
          <t>MONTH</t>
        </is>
      </c>
      <c r="C4" s="47" t="inlineStr">
        <is>
          <t>HOLIDAY PAYMENTS DUE</t>
        </is>
      </c>
      <c r="D4" s="47" t="inlineStr">
        <is>
          <t>SHARE OF INCOME</t>
        </is>
      </c>
      <c r="E4" s="1" t="n"/>
      <c r="F4" s="1" t="n"/>
      <c r="G4" s="1" t="n"/>
    </row>
    <row r="5">
      <c r="A5" s="1" t="n"/>
      <c r="B5" s="20">
        <f>TEXT(EDATE(Settings!$C$7,0),"mmm yyyy")</f>
        <v/>
      </c>
      <c r="C5" s="21">
        <f>SUM('Holiday Payments'!$R$6:$R$25)</f>
        <v/>
      </c>
      <c r="D5" s="22">
        <f>IF(Settings!$C$6&gt;0,C5/Settings!$C$6,0)</f>
        <v/>
      </c>
      <c r="E5" s="1" t="n"/>
      <c r="F5" s="1" t="n"/>
      <c r="G5" s="1" t="n"/>
    </row>
    <row r="6">
      <c r="A6" s="1" t="n"/>
      <c r="B6" s="20">
        <f>TEXT(EDATE(Settings!$C$7,1),"mmm yyyy")</f>
        <v/>
      </c>
      <c r="C6" s="21">
        <f>SUM('Holiday Payments'!$S$6:$S$25)</f>
        <v/>
      </c>
      <c r="D6" s="22">
        <f>IF(Settings!$C$6&gt;0,C6/Settings!$C$6,0)</f>
        <v/>
      </c>
      <c r="E6" s="1" t="n"/>
      <c r="F6" s="1" t="n"/>
      <c r="G6" s="1" t="n"/>
    </row>
    <row r="7">
      <c r="A7" s="1" t="n"/>
      <c r="B7" s="20">
        <f>TEXT(EDATE(Settings!$C$7,2),"mmm yyyy")</f>
        <v/>
      </c>
      <c r="C7" s="21">
        <f>SUM('Holiday Payments'!$T$6:$T$25)</f>
        <v/>
      </c>
      <c r="D7" s="22">
        <f>IF(Settings!$C$6&gt;0,C7/Settings!$C$6,0)</f>
        <v/>
      </c>
      <c r="E7" s="1" t="n"/>
      <c r="F7" s="1" t="n"/>
      <c r="G7" s="1" t="n"/>
    </row>
    <row r="8">
      <c r="A8" s="1" t="n"/>
      <c r="B8" s="20">
        <f>TEXT(EDATE(Settings!$C$7,3),"mmm yyyy")</f>
        <v/>
      </c>
      <c r="C8" s="21">
        <f>SUM('Holiday Payments'!$U$6:$U$25)</f>
        <v/>
      </c>
      <c r="D8" s="22">
        <f>IF(Settings!$C$6&gt;0,C8/Settings!$C$6,0)</f>
        <v/>
      </c>
      <c r="E8" s="1" t="n"/>
      <c r="F8" s="1" t="n"/>
      <c r="G8" s="1" t="n"/>
    </row>
    <row r="9">
      <c r="A9" s="1" t="n"/>
      <c r="B9" s="20">
        <f>TEXT(EDATE(Settings!$C$7,4),"mmm yyyy")</f>
        <v/>
      </c>
      <c r="C9" s="21">
        <f>SUM('Holiday Payments'!$V$6:$V$25)</f>
        <v/>
      </c>
      <c r="D9" s="22">
        <f>IF(Settings!$C$6&gt;0,C9/Settings!$C$6,0)</f>
        <v/>
      </c>
      <c r="E9" s="1" t="n"/>
      <c r="F9" s="1" t="n"/>
      <c r="G9" s="1" t="n"/>
    </row>
    <row r="10">
      <c r="A10" s="1" t="n"/>
      <c r="B10" s="1" t="n"/>
      <c r="C10" s="1" t="n"/>
      <c r="D10" s="1" t="n"/>
      <c r="E10" s="1" t="n"/>
      <c r="F10" s="1" t="n"/>
      <c r="G10" s="1" t="n"/>
    </row>
    <row r="11" ht="34" customHeight="1">
      <c r="A11" s="1" t="n"/>
      <c r="B11" s="47" t="inlineStr">
        <is>
          <t>HOW GIFTS WERE PAID</t>
        </is>
      </c>
      <c r="C11" s="47" t="inlineStr">
        <is>
          <t>SPENT</t>
        </is>
      </c>
      <c r="D11" s="1" t="n"/>
      <c r="E11" s="1" t="n"/>
      <c r="F11" s="1" t="n"/>
      <c r="G11" s="1" t="n"/>
    </row>
    <row r="12">
      <c r="A12" s="1" t="n"/>
      <c r="B12" s="20">
        <f>IF(Settings!$C$14="","",Settings!$C$14)</f>
        <v/>
      </c>
      <c r="C12" s="21">
        <f>IF(Settings!$C$14="",0,SUMIFS('Gift List'!$F$6:$F$55,'Gift List'!$G$6:$G$55,Settings!$C$14))</f>
        <v/>
      </c>
      <c r="D12" s="1" t="n"/>
      <c r="E12" s="1" t="n"/>
      <c r="F12" s="1" t="n"/>
      <c r="G12" s="1" t="n"/>
    </row>
    <row r="13">
      <c r="A13" s="1" t="n"/>
      <c r="B13" s="20">
        <f>IF(Settings!$C$15="","",Settings!$C$15)</f>
        <v/>
      </c>
      <c r="C13" s="21">
        <f>IF(Settings!$C$15="",0,SUMIFS('Gift List'!$F$6:$F$55,'Gift List'!$G$6:$G$55,Settings!$C$15))</f>
        <v/>
      </c>
      <c r="D13" s="1" t="n"/>
      <c r="E13" s="1" t="n"/>
      <c r="F13" s="1" t="n"/>
      <c r="G13" s="1" t="n"/>
    </row>
    <row r="14">
      <c r="A14" s="1" t="n"/>
      <c r="B14" s="20">
        <f>IF(Settings!$C$16="","",Settings!$C$16)</f>
        <v/>
      </c>
      <c r="C14" s="21">
        <f>IF(Settings!$C$16="",0,SUMIFS('Gift List'!$F$6:$F$55,'Gift List'!$G$6:$G$55,Settings!$C$16))</f>
        <v/>
      </c>
      <c r="D14" s="1" t="n"/>
      <c r="E14" s="1" t="n"/>
      <c r="F14" s="1" t="n"/>
      <c r="G14" s="1" t="n"/>
    </row>
    <row r="15">
      <c r="A15" s="1" t="n"/>
      <c r="B15" s="20">
        <f>IF(Settings!$C$17="","",Settings!$C$17)</f>
        <v/>
      </c>
      <c r="C15" s="21">
        <f>IF(Settings!$C$17="",0,SUMIFS('Gift List'!$F$6:$F$55,'Gift List'!$G$6:$G$55,Settings!$C$17))</f>
        <v/>
      </c>
      <c r="D15" s="1" t="n"/>
      <c r="E15" s="1" t="n"/>
      <c r="F15" s="1" t="n"/>
      <c r="G15" s="1" t="n"/>
    </row>
    <row r="16">
      <c r="A16" s="1" t="n"/>
      <c r="B16" s="20">
        <f>IF(Settings!$C$18="","",Settings!$C$18)</f>
        <v/>
      </c>
      <c r="C16" s="21">
        <f>IF(Settings!$C$18="",0,SUMIFS('Gift List'!$F$6:$F$55,'Gift List'!$G$6:$G$55,Settings!$C$18))</f>
        <v/>
      </c>
      <c r="D16" s="1" t="n"/>
      <c r="E16" s="1" t="n"/>
      <c r="F16" s="1" t="n"/>
      <c r="G16" s="1" t="n"/>
    </row>
    <row r="17">
      <c r="A17" s="1" t="n"/>
      <c r="B17" s="20">
        <f>IF(Settings!$C$19="","",Settings!$C$19)</f>
        <v/>
      </c>
      <c r="C17" s="21">
        <f>IF(Settings!$C$19="",0,SUMIFS('Gift List'!$F$6:$F$55,'Gift List'!$G$6:$G$55,Settings!$C$19))</f>
        <v/>
      </c>
      <c r="D17" s="1" t="n"/>
      <c r="E17" s="1" t="n"/>
      <c r="F17" s="1" t="n"/>
      <c r="G17" s="1" t="n"/>
    </row>
    <row r="18">
      <c r="A18" s="1" t="n"/>
      <c r="B18" s="20">
        <f>IF(Settings!$C$20="","",Settings!$C$20)</f>
        <v/>
      </c>
      <c r="C18" s="21">
        <f>IF(Settings!$C$20="",0,SUMIFS('Gift List'!$F$6:$F$55,'Gift List'!$G$6:$G$55,Settings!$C$20))</f>
        <v/>
      </c>
      <c r="D18" s="1" t="n"/>
      <c r="E18" s="1" t="n"/>
      <c r="F18" s="1" t="n"/>
      <c r="G18" s="1" t="n"/>
    </row>
    <row r="19">
      <c r="A19" s="1" t="n"/>
      <c r="B19" s="1" t="n"/>
      <c r="C19" s="1" t="n"/>
      <c r="D19" s="1" t="n"/>
      <c r="E19" s="1" t="n"/>
      <c r="F19" s="1" t="n"/>
      <c r="G19" s="1" t="n"/>
    </row>
    <row r="20">
      <c r="A20" s="1" t="n"/>
      <c r="B20" s="1" t="n"/>
      <c r="C20" s="1" t="n"/>
      <c r="D20" s="1" t="n"/>
      <c r="E20" s="1" t="n"/>
      <c r="F20" s="1" t="n"/>
      <c r="G20" s="1" t="n"/>
    </row>
    <row r="21" ht="34" customHeight="1">
      <c r="A21" s="1" t="n"/>
      <c r="B21" s="47" t="inlineStr">
        <is>
          <t>PLAN (HIGHEST APR FIRST)</t>
        </is>
      </c>
      <c r="C21" s="47" t="inlineStr">
        <is>
          <t>REAL APR</t>
        </is>
      </c>
      <c r="D21" s="47" t="inlineStr">
        <is>
          <t>FLAG</t>
        </is>
      </c>
      <c r="E21" s="47" t="inlineStr">
        <is>
          <t>STILL TO PAY</t>
        </is>
      </c>
      <c r="F21" s="1" t="n"/>
      <c r="G21" s="1" t="n"/>
    </row>
    <row r="22">
      <c r="A22" s="1" t="n"/>
      <c r="B22" s="20">
        <f>IFERROR(INDEX('Holiday Payments'!$B$6:$B$25,MATCH(LARGE('Holiday Payments'!$W$6:$W$25,1),'Holiday Payments'!$W$6:$W$25,0)),"")</f>
        <v/>
      </c>
      <c r="C22" s="32">
        <f>IFERROR(INDEX('Holiday Payments'!$M$6:$M$25,MATCH(LARGE('Holiday Payments'!$W$6:$W$25,1),'Holiday Payments'!$W$6:$W$25,0)),"")</f>
        <v/>
      </c>
      <c r="D22" s="74">
        <f>IFERROR(INDEX('Holiday Payments'!$Q$6:$Q$25,MATCH(LARGE('Holiday Payments'!$W$6:$W$25,1),'Holiday Payments'!$W$6:$W$25,0)),"")</f>
        <v/>
      </c>
      <c r="E22" s="21">
        <f>IFERROR(INDEX('Holiday Payments'!$P$6:$P$25,MATCH(LARGE('Holiday Payments'!$W$6:$W$25,1),'Holiday Payments'!$W$6:$W$25,0)),"")</f>
        <v/>
      </c>
      <c r="F22" s="1" t="n"/>
      <c r="G22" s="1" t="n"/>
    </row>
    <row r="23">
      <c r="A23" s="1" t="n"/>
      <c r="B23" s="20">
        <f>IFERROR(INDEX('Holiday Payments'!$B$6:$B$25,MATCH(LARGE('Holiday Payments'!$W$6:$W$25,2),'Holiday Payments'!$W$6:$W$25,0)),"")</f>
        <v/>
      </c>
      <c r="C23" s="32">
        <f>IFERROR(INDEX('Holiday Payments'!$M$6:$M$25,MATCH(LARGE('Holiday Payments'!$W$6:$W$25,2),'Holiday Payments'!$W$6:$W$25,0)),"")</f>
        <v/>
      </c>
      <c r="D23" s="74">
        <f>IFERROR(INDEX('Holiday Payments'!$Q$6:$Q$25,MATCH(LARGE('Holiday Payments'!$W$6:$W$25,2),'Holiday Payments'!$W$6:$W$25,0)),"")</f>
        <v/>
      </c>
      <c r="E23" s="21">
        <f>IFERROR(INDEX('Holiday Payments'!$P$6:$P$25,MATCH(LARGE('Holiday Payments'!$W$6:$W$25,2),'Holiday Payments'!$W$6:$W$25,0)),"")</f>
        <v/>
      </c>
      <c r="F23" s="1" t="n"/>
      <c r="G23" s="1" t="n"/>
    </row>
    <row r="24">
      <c r="A24" s="1" t="n"/>
      <c r="B24" s="20">
        <f>IFERROR(INDEX('Holiday Payments'!$B$6:$B$25,MATCH(LARGE('Holiday Payments'!$W$6:$W$25,3),'Holiday Payments'!$W$6:$W$25,0)),"")</f>
        <v/>
      </c>
      <c r="C24" s="32">
        <f>IFERROR(INDEX('Holiday Payments'!$M$6:$M$25,MATCH(LARGE('Holiday Payments'!$W$6:$W$25,3),'Holiday Payments'!$W$6:$W$25,0)),"")</f>
        <v/>
      </c>
      <c r="D24" s="74">
        <f>IFERROR(INDEX('Holiday Payments'!$Q$6:$Q$25,MATCH(LARGE('Holiday Payments'!$W$6:$W$25,3),'Holiday Payments'!$W$6:$W$25,0)),"")</f>
        <v/>
      </c>
      <c r="E24" s="21">
        <f>IFERROR(INDEX('Holiday Payments'!$P$6:$P$25,MATCH(LARGE('Holiday Payments'!$W$6:$W$25,3),'Holiday Payments'!$W$6:$W$25,0)),"")</f>
        <v/>
      </c>
      <c r="F24" s="1" t="n"/>
      <c r="G24" s="1" t="n"/>
    </row>
    <row r="25">
      <c r="A25" s="1" t="n"/>
      <c r="B25" s="20">
        <f>IFERROR(INDEX('Holiday Payments'!$B$6:$B$25,MATCH(LARGE('Holiday Payments'!$W$6:$W$25,4),'Holiday Payments'!$W$6:$W$25,0)),"")</f>
        <v/>
      </c>
      <c r="C25" s="32">
        <f>IFERROR(INDEX('Holiday Payments'!$M$6:$M$25,MATCH(LARGE('Holiday Payments'!$W$6:$W$25,4),'Holiday Payments'!$W$6:$W$25,0)),"")</f>
        <v/>
      </c>
      <c r="D25" s="74">
        <f>IFERROR(INDEX('Holiday Payments'!$Q$6:$Q$25,MATCH(LARGE('Holiday Payments'!$W$6:$W$25,4),'Holiday Payments'!$W$6:$W$25,0)),"")</f>
        <v/>
      </c>
      <c r="E25" s="21">
        <f>IFERROR(INDEX('Holiday Payments'!$P$6:$P$25,MATCH(LARGE('Holiday Payments'!$W$6:$W$25,4),'Holiday Payments'!$W$6:$W$25,0)),"")</f>
        <v/>
      </c>
      <c r="F25" s="1" t="n"/>
      <c r="G25" s="1" t="n"/>
    </row>
    <row r="26">
      <c r="A26" s="1" t="n"/>
      <c r="B26" s="20">
        <f>IFERROR(INDEX('Holiday Payments'!$B$6:$B$25,MATCH(LARGE('Holiday Payments'!$W$6:$W$25,5),'Holiday Payments'!$W$6:$W$25,0)),"")</f>
        <v/>
      </c>
      <c r="C26" s="32">
        <f>IFERROR(INDEX('Holiday Payments'!$M$6:$M$25,MATCH(LARGE('Holiday Payments'!$W$6:$W$25,5),'Holiday Payments'!$W$6:$W$25,0)),"")</f>
        <v/>
      </c>
      <c r="D26" s="74">
        <f>IFERROR(INDEX('Holiday Payments'!$Q$6:$Q$25,MATCH(LARGE('Holiday Payments'!$W$6:$W$25,5),'Holiday Payments'!$W$6:$W$25,0)),"")</f>
        <v/>
      </c>
      <c r="E26" s="21">
        <f>IFERROR(INDEX('Holiday Payments'!$P$6:$P$25,MATCH(LARGE('Holiday Payments'!$W$6:$W$25,5),'Holiday Payments'!$W$6:$W$25,0)),"")</f>
        <v/>
      </c>
      <c r="F26" s="1" t="n"/>
      <c r="G26" s="1" t="n"/>
    </row>
    <row r="27">
      <c r="A27" s="1" t="n"/>
      <c r="B27" s="20">
        <f>IFERROR(INDEX('Holiday Payments'!$B$6:$B$25,MATCH(LARGE('Holiday Payments'!$W$6:$W$25,6),'Holiday Payments'!$W$6:$W$25,0)),"")</f>
        <v/>
      </c>
      <c r="C27" s="32">
        <f>IFERROR(INDEX('Holiday Payments'!$M$6:$M$25,MATCH(LARGE('Holiday Payments'!$W$6:$W$25,6),'Holiday Payments'!$W$6:$W$25,0)),"")</f>
        <v/>
      </c>
      <c r="D27" s="74">
        <f>IFERROR(INDEX('Holiday Payments'!$Q$6:$Q$25,MATCH(LARGE('Holiday Payments'!$W$6:$W$25,6),'Holiday Payments'!$W$6:$W$25,0)),"")</f>
        <v/>
      </c>
      <c r="E27" s="21">
        <f>IFERROR(INDEX('Holiday Payments'!$P$6:$P$25,MATCH(LARGE('Holiday Payments'!$W$6:$W$25,6),'Holiday Payments'!$W$6:$W$25,0)),"")</f>
        <v/>
      </c>
      <c r="F27" s="1" t="n"/>
      <c r="G27" s="1" t="n"/>
    </row>
    <row r="28">
      <c r="A28" s="1" t="n"/>
      <c r="B28" s="1" t="n"/>
      <c r="C28" s="1" t="n"/>
      <c r="D28" s="1" t="n"/>
      <c r="E28" s="1" t="n"/>
      <c r="F28" s="1" t="n"/>
      <c r="G28" s="1" t="n"/>
    </row>
    <row r="29" ht="34" customHeight="1">
      <c r="A29" s="1" t="n"/>
      <c r="B29" s="47" t="inlineStr">
        <is>
          <t>STILL TO BUY (BIGGEST BUDGET FIRST)</t>
        </is>
      </c>
      <c r="C29" s="47" t="inlineStr">
        <is>
          <t>GIFT</t>
        </is>
      </c>
      <c r="D29" s="47" t="inlineStr">
        <is>
          <t>BUDGET</t>
        </is>
      </c>
      <c r="E29" s="47" t="inlineStr">
        <is>
          <t>RELATIONSHIP</t>
        </is>
      </c>
      <c r="F29" s="1" t="n"/>
      <c r="G29" s="1" t="n"/>
    </row>
    <row r="30">
      <c r="A30" s="1" t="n"/>
      <c r="B30" s="20">
        <f>IFERROR(INDEX('Gift List'!$B$6:$B$55,MATCH(LARGE('Gift List'!$L$6:$L$55,1),'Gift List'!$L$6:$L$55,0)),"")</f>
        <v/>
      </c>
      <c r="C30" s="20">
        <f>IFERROR(INDEX('Gift List'!$D$6:$D$55,MATCH(LARGE('Gift List'!$L$6:$L$55,1),'Gift List'!$L$6:$L$55,0)),"")</f>
        <v/>
      </c>
      <c r="D30" s="21">
        <f>IFERROR(INDEX('Gift List'!$E$6:$E$55,MATCH(LARGE('Gift List'!$L$6:$L$55,1),'Gift List'!$L$6:$L$55,0)),"")</f>
        <v/>
      </c>
      <c r="E30" s="20">
        <f>IFERROR(INDEX('Gift List'!$C$6:$C$55,MATCH(LARGE('Gift List'!$L$6:$L$55,1),'Gift List'!$L$6:$L$55,0)),"")</f>
        <v/>
      </c>
      <c r="F30" s="1" t="n"/>
      <c r="G30" s="1" t="n"/>
    </row>
    <row r="31">
      <c r="A31" s="1" t="n"/>
      <c r="B31" s="20">
        <f>IFERROR(INDEX('Gift List'!$B$6:$B$55,MATCH(LARGE('Gift List'!$L$6:$L$55,2),'Gift List'!$L$6:$L$55,0)),"")</f>
        <v/>
      </c>
      <c r="C31" s="20">
        <f>IFERROR(INDEX('Gift List'!$D$6:$D$55,MATCH(LARGE('Gift List'!$L$6:$L$55,2),'Gift List'!$L$6:$L$55,0)),"")</f>
        <v/>
      </c>
      <c r="D31" s="21">
        <f>IFERROR(INDEX('Gift List'!$E$6:$E$55,MATCH(LARGE('Gift List'!$L$6:$L$55,2),'Gift List'!$L$6:$L$55,0)),"")</f>
        <v/>
      </c>
      <c r="E31" s="20">
        <f>IFERROR(INDEX('Gift List'!$C$6:$C$55,MATCH(LARGE('Gift List'!$L$6:$L$55,2),'Gift List'!$L$6:$L$55,0)),"")</f>
        <v/>
      </c>
      <c r="F31" s="1" t="n"/>
      <c r="G31" s="1" t="n"/>
    </row>
    <row r="32">
      <c r="A32" s="1" t="n"/>
      <c r="B32" s="20">
        <f>IFERROR(INDEX('Gift List'!$B$6:$B$55,MATCH(LARGE('Gift List'!$L$6:$L$55,3),'Gift List'!$L$6:$L$55,0)),"")</f>
        <v/>
      </c>
      <c r="C32" s="20">
        <f>IFERROR(INDEX('Gift List'!$D$6:$D$55,MATCH(LARGE('Gift List'!$L$6:$L$55,3),'Gift List'!$L$6:$L$55,0)),"")</f>
        <v/>
      </c>
      <c r="D32" s="21">
        <f>IFERROR(INDEX('Gift List'!$E$6:$E$55,MATCH(LARGE('Gift List'!$L$6:$L$55,3),'Gift List'!$L$6:$L$55,0)),"")</f>
        <v/>
      </c>
      <c r="E32" s="20">
        <f>IFERROR(INDEX('Gift List'!$C$6:$C$55,MATCH(LARGE('Gift List'!$L$6:$L$55,3),'Gift List'!$L$6:$L$55,0)),"")</f>
        <v/>
      </c>
      <c r="F32" s="1" t="n"/>
      <c r="G32" s="1" t="n"/>
    </row>
    <row r="33">
      <c r="A33" s="1" t="n"/>
      <c r="B33" s="20">
        <f>IFERROR(INDEX('Gift List'!$B$6:$B$55,MATCH(LARGE('Gift List'!$L$6:$L$55,4),'Gift List'!$L$6:$L$55,0)),"")</f>
        <v/>
      </c>
      <c r="C33" s="20">
        <f>IFERROR(INDEX('Gift List'!$D$6:$D$55,MATCH(LARGE('Gift List'!$L$6:$L$55,4),'Gift List'!$L$6:$L$55,0)),"")</f>
        <v/>
      </c>
      <c r="D33" s="21">
        <f>IFERROR(INDEX('Gift List'!$E$6:$E$55,MATCH(LARGE('Gift List'!$L$6:$L$55,4),'Gift List'!$L$6:$L$55,0)),"")</f>
        <v/>
      </c>
      <c r="E33" s="20">
        <f>IFERROR(INDEX('Gift List'!$C$6:$C$55,MATCH(LARGE('Gift List'!$L$6:$L$55,4),'Gift List'!$L$6:$L$55,0)),"")</f>
        <v/>
      </c>
      <c r="F33" s="1" t="n"/>
      <c r="G33" s="1" t="n"/>
    </row>
    <row r="34">
      <c r="A34" s="1" t="n"/>
      <c r="B34" s="20">
        <f>IFERROR(INDEX('Gift List'!$B$6:$B$55,MATCH(LARGE('Gift List'!$L$6:$L$55,5),'Gift List'!$L$6:$L$55,0)),"")</f>
        <v/>
      </c>
      <c r="C34" s="20">
        <f>IFERROR(INDEX('Gift List'!$D$6:$D$55,MATCH(LARGE('Gift List'!$L$6:$L$55,5),'Gift List'!$L$6:$L$55,0)),"")</f>
        <v/>
      </c>
      <c r="D34" s="21">
        <f>IFERROR(INDEX('Gift List'!$E$6:$E$55,MATCH(LARGE('Gift List'!$L$6:$L$55,5),'Gift List'!$L$6:$L$55,0)),"")</f>
        <v/>
      </c>
      <c r="E34" s="20">
        <f>IFERROR(INDEX('Gift List'!$C$6:$C$55,MATCH(LARGE('Gift List'!$L$6:$L$55,5),'Gift List'!$L$6:$L$55,0)),"")</f>
        <v/>
      </c>
      <c r="F34" s="1" t="n"/>
      <c r="G34" s="1" t="n"/>
    </row>
    <row r="35">
      <c r="A35" s="1" t="n"/>
      <c r="B35" s="1" t="n"/>
      <c r="C35" s="1" t="n"/>
      <c r="D35" s="1" t="n"/>
      <c r="E35" s="1" t="n"/>
      <c r="F35" s="1" t="n"/>
      <c r="G35" s="1" t="n"/>
    </row>
    <row r="36">
      <c r="A36" s="1" t="n"/>
      <c r="B36" s="1" t="n"/>
      <c r="C36" s="1" t="n"/>
      <c r="D36" s="1" t="n"/>
      <c r="E36" s="1" t="n"/>
      <c r="F36" s="1" t="n"/>
      <c r="G36" s="1" t="n"/>
    </row>
    <row r="37">
      <c r="A37" s="1" t="n"/>
      <c r="B37" s="1" t="n"/>
      <c r="C37" s="1" t="n"/>
      <c r="D37" s="1" t="n"/>
      <c r="E37" s="1" t="n"/>
      <c r="F37" s="1" t="n"/>
      <c r="G37" s="1" t="n"/>
    </row>
    <row r="38">
      <c r="A38" s="1" t="n"/>
      <c r="B38" s="1" t="n"/>
      <c r="C38" s="1" t="n"/>
      <c r="D38" s="1" t="n"/>
      <c r="E38" s="1" t="n"/>
      <c r="F38" s="1" t="n"/>
      <c r="G38" s="1" t="n"/>
    </row>
    <row r="39">
      <c r="A39" s="1" t="n"/>
      <c r="B39" s="1" t="n"/>
      <c r="C39" s="1" t="n"/>
      <c r="D39" s="1" t="n"/>
      <c r="E39" s="1" t="n"/>
      <c r="F39" s="1" t="n"/>
      <c r="G39" s="1" t="n"/>
    </row>
    <row r="40">
      <c r="A40" s="1" t="n"/>
      <c r="B40" s="1" t="n"/>
      <c r="C40" s="1" t="n"/>
      <c r="D40" s="1" t="n"/>
      <c r="E40" s="1" t="n"/>
      <c r="F40" s="1" t="n"/>
      <c r="G40"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2026-10-24T11:29:51Z</dcterms:created>
  <dcterms:modified xsi:type="dcterms:W3CDTF">2026-10-24T11:29:51Z</dcterms:modified>
</cp:coreProperties>
</file>